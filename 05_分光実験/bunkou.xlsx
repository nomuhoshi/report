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292" yWindow="48" windowWidth="11748" windowHeight="12300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実験結果" sheetId="2" state="visible" r:id="rId2"/>
    <sheet xmlns:r="http://schemas.openxmlformats.org/officeDocument/2006/relationships" name="実験1_波長" sheetId="3" state="visible" r:id="rId3"/>
    <sheet xmlns:r="http://schemas.openxmlformats.org/officeDocument/2006/relationships" name="実験2_屈折率" sheetId="4" state="visible" r:id="rId4"/>
    <sheet xmlns:r="http://schemas.openxmlformats.org/officeDocument/2006/relationships" name="実験3-2_波長校正" sheetId="5" state="visible" r:id="rId5"/>
    <sheet xmlns:r="http://schemas.openxmlformats.org/officeDocument/2006/relationships" name="実験3-3_分解能" sheetId="6" state="visible" r:id="rId6"/>
    <sheet xmlns:r="http://schemas.openxmlformats.org/officeDocument/2006/relationships" name="実験3-4_白色LED" sheetId="7" state="visible" r:id="rId7"/>
    <sheet xmlns:r="http://schemas.openxmlformats.org/officeDocument/2006/relationships" name="week_1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0.0"/>
    <numFmt numFmtId="165" formatCode="0.000"/>
    <numFmt numFmtId="166" formatCode="+0.0;−0.0;0.0"/>
    <numFmt numFmtId="167" formatCode="&quot;L = &quot;0&quot; mm&quot;"/>
    <numFmt numFmtId="168" formatCode="0.0000"/>
    <numFmt numFmtId="169" formatCode="0.000E+00"/>
    <numFmt numFmtId="170" formatCode="0.00000"/>
  </numFmts>
  <fonts count="15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</font>
    <font>
      <name val="等线"/>
      <charset val="134"/>
      <family val="2"/>
      <sz val="9"/>
      <scheme val="minor"/>
    </font>
    <font>
      <name val="Yu Gothic"/>
      <charset val="128"/>
      <family val="2"/>
      <color theme="1"/>
      <sz val="11"/>
    </font>
    <font>
      <name val="等线"/>
      <charset val="128"/>
      <family val="2"/>
      <color theme="1"/>
      <sz val="11"/>
    </font>
    <font>
      <name val="等线"/>
      <charset val="134"/>
      <family val="3"/>
      <color theme="1"/>
      <sz val="11"/>
    </font>
    <font>
      <name val="Yu Gothic"/>
      <b val="1"/>
      <sz val="14"/>
    </font>
    <font>
      <name val="Yu Gothic"/>
      <color rgb="00595959"/>
      <sz val="9"/>
    </font>
    <font>
      <name val="Yu Gothic"/>
      <b val="1"/>
      <sz val="10"/>
    </font>
    <font>
      <name val="Yu Gothic"/>
      <sz val="10"/>
    </font>
    <font>
      <name val="Yu Gothic"/>
      <color rgb="000000FF"/>
      <sz val="10"/>
    </font>
    <font>
      <name val="游明朝"/>
      <b val="1"/>
      <sz val="14"/>
    </font>
    <font>
      <name val="游明朝"/>
      <color rgb="00595959"/>
      <sz val="9"/>
    </font>
    <font>
      <name val="游明朝"/>
      <b val="1"/>
      <sz val="10.5"/>
    </font>
    <font>
      <name val="游明朝"/>
      <sz val="10.5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 applyAlignment="1">
      <alignment vertical="center"/>
    </xf>
  </cellStyleXfs>
  <cellXfs count="45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3" fillId="0" borderId="5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 wrapText="1"/>
    </xf>
    <xf numFmtId="49" fontId="14" fillId="0" borderId="5" applyAlignment="1" pivotButton="0" quotePrefix="0" xfId="0">
      <alignment horizontal="center" vertical="center" wrapText="1"/>
    </xf>
    <xf numFmtId="164" fontId="14" fillId="0" borderId="5" applyAlignment="1" pivotButton="0" quotePrefix="0" xfId="0">
      <alignment horizontal="center" vertical="center" wrapText="1"/>
    </xf>
    <xf numFmtId="2" fontId="14" fillId="0" borderId="5" applyAlignment="1" pivotButton="0" quotePrefix="0" xfId="0">
      <alignment horizontal="center" vertical="center" wrapText="1"/>
    </xf>
    <xf numFmtId="1" fontId="14" fillId="0" borderId="5" applyAlignment="1" pivotButton="0" quotePrefix="0" xfId="0">
      <alignment horizontal="center" vertical="center" wrapText="1"/>
    </xf>
    <xf numFmtId="168" fontId="14" fillId="0" borderId="5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0" borderId="1" applyAlignment="1" pivotButton="0" quotePrefix="0" xfId="0">
      <alignment horizontal="left"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10" fillId="0" borderId="1" applyAlignment="1" pivotButton="0" quotePrefix="0" xfId="0">
      <alignment horizontal="center" vertical="center" wrapText="1"/>
    </xf>
    <xf numFmtId="1" fontId="10" fillId="0" borderId="1" applyAlignment="1" pivotButton="0" quotePrefix="0" xfId="0">
      <alignment horizontal="center" vertical="center" wrapText="1"/>
    </xf>
    <xf numFmtId="2" fontId="9" fillId="0" borderId="1" applyAlignment="1" pivotButton="0" quotePrefix="0" xfId="0">
      <alignment horizontal="center" vertical="center" wrapText="1"/>
    </xf>
    <xf numFmtId="165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horizontal="center" vertical="center" wrapText="1"/>
    </xf>
    <xf numFmtId="165" fontId="10" fillId="3" borderId="1" applyAlignment="1" pivotButton="0" quotePrefix="0" xfId="0">
      <alignment horizontal="center" vertical="center" wrapText="1"/>
    </xf>
    <xf numFmtId="165" fontId="10" fillId="0" borderId="1" applyAlignment="1" pivotButton="0" quotePrefix="0" xfId="0">
      <alignment horizontal="center" vertical="center" wrapText="1"/>
    </xf>
    <xf numFmtId="167" fontId="10" fillId="2" borderId="1" applyAlignment="1" pivotButton="0" quotePrefix="0" xfId="0">
      <alignment horizontal="center" vertical="center" wrapText="1"/>
    </xf>
    <xf numFmtId="168" fontId="9" fillId="0" borderId="1" applyAlignment="1" pivotButton="0" quotePrefix="0" xfId="0">
      <alignment horizontal="center" vertical="center" wrapText="1"/>
    </xf>
    <xf numFmtId="164" fontId="10" fillId="4" borderId="1" applyAlignment="1" pivotButton="0" quotePrefix="0" xfId="0">
      <alignment horizontal="center" vertical="center" wrapText="1"/>
    </xf>
    <xf numFmtId="168" fontId="10" fillId="4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169" fontId="9" fillId="0" borderId="1" applyAlignment="1" pivotButton="0" quotePrefix="0" xfId="0">
      <alignment horizontal="center" vertical="center" wrapText="1"/>
    </xf>
    <xf numFmtId="170" fontId="9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168" fontId="10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" fontId="9" fillId="0" borderId="1" applyAlignment="1" pivotButton="0" quotePrefix="0" xfId="0">
      <alignment horizontal="center" vertical="center" wrapText="1"/>
    </xf>
    <xf numFmtId="168" fontId="10" fillId="3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 wrapTex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roundedCorners val="0"/>
  <style val="2"/>
  <chart>
    <plotArea>
      <scatterChart>
        <ser>
          <idx val="0"/>
          <order val="0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'実験2_屈折率'!$C$8:$C$11</f>
            </numRef>
          </xVal>
          <yVal>
            <numRef>
              <f>'実験2_屈折率'!$M$8:$M$11</f>
            </numRef>
          </yVal>
        </ser>
        <axId val="10"/>
        <axId val="20"/>
      </scatterChart>
      <valAx>
        <axId val="10"/>
        <scaling>
          <orientation val="minMax"/>
          <max val="680"/>
          <min val="44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波長 λ [nm]</a:t>
                </a:r>
              </a:p>
            </rich>
          </tx>
        </title>
        <numFmt formatCode="0" sourceLinked="0"/>
        <majorTickMark val="in"/>
        <minorTickMark val="none"/>
        <spPr>
          <a:ln xmlns:a="http://schemas.openxmlformats.org/drawingml/2006/main" w="9525">
            <a:solidFill>
              <a:srgbClr val="000000"/>
            </a:solidFill>
            <a:prstDash val="solid"/>
          </a:ln>
        </spPr>
        <crossAx val="20"/>
        <crosses val="min"/>
        <majorUnit val="40"/>
      </valAx>
      <valAx>
        <axId val="20"/>
        <scaling>
          <orientation val="minMax"/>
          <max val="1.68"/>
          <min val="1.6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屈折率 n</a:t>
                </a:r>
              </a:p>
            </rich>
          </tx>
        </title>
        <numFmt formatCode="0.00" sourceLinked="0"/>
        <majorTickMark val="in"/>
        <minorTickMark val="none"/>
        <spPr>
          <a:ln xmlns:a="http://schemas.openxmlformats.org/drawingml/2006/main" w="9525">
            <a:solidFill>
              <a:srgbClr val="000000"/>
            </a:solidFill>
            <a:prstDash val="solid"/>
          </a:ln>
        </spPr>
        <crossAx val="10"/>
        <crosses val="min"/>
        <majorUnit val="0.02"/>
      </valAx>
      <spPr>
        <a:noFill xmlns:a="http://schemas.openxmlformats.org/drawingml/2006/main"/>
        <a:ln xmlns:a="http://schemas.openxmlformats.org/drawingml/2006/main" w="9525">
          <a:solidFill>
            <a:srgbClr val="000000"/>
          </a:solidFill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roundedCorners val="0"/>
  <style val="2"/>
  <chart>
    <plotArea>
      <scatterChart>
        <ser>
          <idx val="0"/>
          <order val="0"/>
          <spPr>
            <a:ln xmlns:a="http://schemas.openxmlformats.org/drawingml/2006/main" w="9525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'実験3-2_波長校正'!$D$37:$D$163</f>
            </numRef>
          </xVal>
          <yVal>
            <numRef>
              <f>'実験3-2_波長校正'!$C$37:$C$163</f>
            </numRef>
          </yVal>
        </ser>
        <axId val="10"/>
        <axId val="20"/>
      </scatterChart>
      <valAx>
        <axId val="10"/>
        <scaling>
          <orientation val="minMax"/>
          <max val="680"/>
          <min val="44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波長 λ [nm]</a:t>
                </a:r>
              </a:p>
            </rich>
          </tx>
        </title>
        <numFmt formatCode="0" sourceLinked="0"/>
        <majorTickMark val="in"/>
        <minorTickMark val="none"/>
        <spPr>
          <a:ln xmlns:a="http://schemas.openxmlformats.org/drawingml/2006/main" w="9525">
            <a:solidFill>
              <a:srgbClr val="000000"/>
            </a:solidFill>
            <a:prstDash val="solid"/>
          </a:ln>
        </spPr>
        <crossAx val="20"/>
        <crosses val="min"/>
        <majorUnit val="40"/>
      </valAx>
      <valAx>
        <axId val="20"/>
        <scaling>
          <orientation val="minMax"/>
          <max val="0.01"/>
          <min val="0.004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出力電圧 I [V]</a:t>
                </a:r>
              </a:p>
            </rich>
          </tx>
        </title>
        <numFmt formatCode="0.000" sourceLinked="0"/>
        <majorTickMark val="in"/>
        <minorTickMark val="none"/>
        <spPr>
          <a:ln xmlns:a="http://schemas.openxmlformats.org/drawingml/2006/main" w="9525">
            <a:solidFill>
              <a:srgbClr val="000000"/>
            </a:solidFill>
            <a:prstDash val="solid"/>
          </a:ln>
        </spPr>
        <crossAx val="10"/>
        <crosses val="min"/>
        <majorUnit val="0.001"/>
      </valAx>
      <spPr>
        <a:noFill xmlns:a="http://schemas.openxmlformats.org/drawingml/2006/main"/>
        <a:ln xmlns:a="http://schemas.openxmlformats.org/drawingml/2006/main" w="9525">
          <a:solidFill>
            <a:srgbClr val="000000"/>
          </a:solidFill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roundedCorners val="0"/>
  <style val="2"/>
  <chart>
    <plotArea>
      <scatterChart>
        <ser>
          <idx val="0"/>
          <order val="0"/>
          <tx>
            <v>近似曲線</v>
          </tx>
          <spPr>
            <a:ln xmlns:a="http://schemas.openxmlformats.org/drawingml/2006/main" w="9525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'実験3-2_波長校正'!$I$22:$I$55</f>
            </numRef>
          </xVal>
          <yVal>
            <numRef>
              <f>'実験3-2_波長校正'!$J$22:$J$55</f>
            </numRef>
          </yVal>
        </ser>
        <ser>
          <idx val="1"/>
          <order val="1"/>
          <tx>
            <v>Cd 輝線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FF0000"/>
                </a:solidFill>
                <a:prstDash val="solid"/>
              </a:ln>
            </spPr>
          </marker>
          <xVal>
            <numRef>
              <f>'実験3-2_波長校正'!$C$6:$C$8</f>
            </numRef>
          </xVal>
          <yVal>
            <numRef>
              <f>'実験3-2_波長校正'!$E$6:$E$8</f>
            </numRef>
          </yVal>
        </ser>
        <axId val="10"/>
        <axId val="20"/>
      </scatterChart>
      <valAx>
        <axId val="10"/>
        <scaling>
          <orientation val="minMax"/>
          <max val="860"/>
          <min val="20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マイクロメータ読み x [目盛]</a:t>
                </a:r>
              </a:p>
            </rich>
          </tx>
        </title>
        <numFmt formatCode="0" sourceLinked="0"/>
        <majorTickMark val="in"/>
        <minorTickMark val="none"/>
        <spPr>
          <a:ln xmlns:a="http://schemas.openxmlformats.org/drawingml/2006/main" w="9525">
            <a:solidFill>
              <a:srgbClr val="000000"/>
            </a:solidFill>
            <a:prstDash val="solid"/>
          </a:ln>
        </spPr>
        <crossAx val="20"/>
        <crosses val="min"/>
        <majorUnit val="100"/>
      </valAx>
      <valAx>
        <axId val="20"/>
        <scaling>
          <orientation val="minMax"/>
          <max val="700"/>
          <min val="40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波長 λ [nm]</a:t>
                </a:r>
              </a:p>
            </rich>
          </tx>
        </title>
        <numFmt formatCode="0" sourceLinked="0"/>
        <majorTickMark val="in"/>
        <minorTickMark val="none"/>
        <spPr>
          <a:ln xmlns:a="http://schemas.openxmlformats.org/drawingml/2006/main" w="9525">
            <a:solidFill>
              <a:srgbClr val="000000"/>
            </a:solidFill>
            <a:prstDash val="solid"/>
          </a:ln>
        </spPr>
        <crossAx val="10"/>
        <crosses val="min"/>
        <majorUnit val="50"/>
      </valAx>
      <spPr>
        <a:noFill xmlns:a="http://schemas.openxmlformats.org/drawingml/2006/main"/>
        <a:ln xmlns:a="http://schemas.openxmlformats.org/drawingml/2006/main" w="9525">
          <a:solidFill>
            <a:srgbClr val="000000"/>
          </a:solidFill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roundedCorners val="0"/>
  <style val="2"/>
  <chart>
    <plotArea>
      <scatterChart>
        <ser>
          <idx val="0"/>
          <order val="0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'実験3-3_分解能'!$H$19:$H$20</f>
            </numRef>
          </xVal>
          <yVal>
            <numRef>
              <f>'実験3-3_分解能'!$J$19:$J$20</f>
            </numRef>
          </yVal>
        </ser>
        <axId val="10"/>
        <axId val="20"/>
      </scatterChart>
      <valAx>
        <axId val="10"/>
        <scaling>
          <orientation val="minMax"/>
          <max val="1200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入射スリット幅 [µm]</a:t>
                </a:r>
              </a:p>
            </rich>
          </tx>
        </title>
        <numFmt formatCode="0" sourceLinked="0"/>
        <majorTickMark val="in"/>
        <minorTickMark val="none"/>
        <spPr>
          <a:ln xmlns:a="http://schemas.openxmlformats.org/drawingml/2006/main" w="9525">
            <a:solidFill>
              <a:srgbClr val="000000"/>
            </a:solidFill>
            <a:prstDash val="solid"/>
          </a:ln>
        </spPr>
        <crossAx val="20"/>
        <crosses val="min"/>
        <majorUnit val="200"/>
      </valAx>
      <valAx>
        <axId val="20"/>
        <scaling>
          <orientation val="minMax"/>
          <max val="14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半値幅 Δλ [nm]</a:t>
                </a:r>
              </a:p>
            </rich>
          </tx>
        </title>
        <numFmt formatCode="0" sourceLinked="0"/>
        <majorTickMark val="in"/>
        <minorTickMark val="none"/>
        <spPr>
          <a:ln xmlns:a="http://schemas.openxmlformats.org/drawingml/2006/main" w="9525">
            <a:solidFill>
              <a:srgbClr val="000000"/>
            </a:solidFill>
            <a:prstDash val="solid"/>
          </a:ln>
        </spPr>
        <crossAx val="10"/>
        <crosses val="min"/>
        <majorUnit val="2"/>
      </valAx>
      <spPr>
        <a:noFill xmlns:a="http://schemas.openxmlformats.org/drawingml/2006/main"/>
        <a:ln xmlns:a="http://schemas.openxmlformats.org/drawingml/2006/main" w="9525">
          <a:solidFill>
            <a:srgbClr val="000000"/>
          </a:solidFill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roundedCorners val="0"/>
  <style val="2"/>
  <chart>
    <plotArea>
      <scatterChart>
        <ser>
          <idx val="0"/>
          <order val="0"/>
          <spPr>
            <a:ln xmlns:a="http://schemas.openxmlformats.org/drawingml/2006/main" w="9525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'実験3-4_白色LED'!$D$10:$D$83</f>
            </numRef>
          </xVal>
          <yVal>
            <numRef>
              <f>'実験3-4_白色LED'!$C$10:$C$83</f>
            </numRef>
          </yVal>
        </ser>
        <axId val="10"/>
        <axId val="20"/>
      </scatterChart>
      <valAx>
        <axId val="10"/>
        <scaling>
          <orientation val="minMax"/>
          <max val="680"/>
          <min val="42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波長 λ [nm]</a:t>
                </a:r>
              </a:p>
            </rich>
          </tx>
        </title>
        <numFmt formatCode="0" sourceLinked="0"/>
        <majorTickMark val="in"/>
        <minorTickMark val="none"/>
        <spPr>
          <a:ln xmlns:a="http://schemas.openxmlformats.org/drawingml/2006/main" w="9525">
            <a:solidFill>
              <a:srgbClr val="000000"/>
            </a:solidFill>
            <a:prstDash val="solid"/>
          </a:ln>
        </spPr>
        <crossAx val="20"/>
        <crosses val="min"/>
        <majorUnit val="40"/>
      </valAx>
      <valAx>
        <axId val="20"/>
        <scaling>
          <orientation val="minMax"/>
          <max val="0.22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出力電圧 I [V]</a:t>
                </a:r>
              </a:p>
            </rich>
          </tx>
        </title>
        <numFmt formatCode="0.00" sourceLinked="0"/>
        <majorTickMark val="in"/>
        <minorTickMark val="none"/>
        <spPr>
          <a:ln xmlns:a="http://schemas.openxmlformats.org/drawingml/2006/main" w="9525">
            <a:solidFill>
              <a:srgbClr val="000000"/>
            </a:solidFill>
            <a:prstDash val="solid"/>
          </a:ln>
        </spPr>
        <crossAx val="10"/>
        <crosses val="min"/>
        <majorUnit val="0.02"/>
      </valAx>
      <spPr>
        <a:noFill xmlns:a="http://schemas.openxmlformats.org/drawingml/2006/main"/>
        <a:ln xmlns:a="http://schemas.openxmlformats.org/drawingml/2006/main" w="9525">
          <a:solidFill>
            <a:srgbClr val="000000"/>
          </a:solidFill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13</row>
      <rowOff>0</rowOff>
    </from>
    <ext cx="50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20</row>
      <rowOff>0</rowOff>
    </from>
    <ext cx="50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38</row>
      <rowOff>0</rowOff>
    </from>
    <ext cx="504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22</row>
      <rowOff>0</rowOff>
    </from>
    <ext cx="50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20</row>
      <rowOff>0</rowOff>
    </from>
    <ext cx="576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L23"/>
  <sheetViews>
    <sheetView showGridLines="0" workbookViewId="0">
      <selection activeCell="A1" sqref="A1"/>
    </sheetView>
  </sheetViews>
  <sheetFormatPr baseColWidth="8" defaultRowHeight="15"/>
  <cols>
    <col width="2" customWidth="1" style="4" min="1" max="1"/>
    <col width="16" customWidth="1" style="4" min="2" max="2"/>
    <col width="14" customWidth="1" style="4" min="3" max="3"/>
    <col width="14" customWidth="1" style="4" min="4" max="4"/>
    <col width="14" customWidth="1" style="4" min="5" max="5"/>
    <col width="14" customWidth="1" style="4" min="6" max="6"/>
    <col width="14" customWidth="1" style="4" min="7" max="7"/>
    <col width="14" customWidth="1" style="4" min="8" max="8"/>
    <col width="14" customWidth="1" style="4" min="9" max="9"/>
    <col width="14" customWidth="1" style="4" min="10" max="10"/>
    <col width="14" customWidth="1" style="4" min="11" max="11"/>
    <col width="14" customWidth="1" style="4" min="12" max="12"/>
  </cols>
  <sheetData>
    <row r="1">
      <c r="B1" s="5" t="inlineStr">
        <is>
          <t>分光実験　データ整理（第1週：実験1・2／第2週：実験3-2・3-3・3-4）</t>
        </is>
      </c>
    </row>
    <row r="3" ht="18" customHeight="1" s="4">
      <c r="B3" s="6" t="inlineStr">
        <is>
          <t>■ シート構成</t>
        </is>
      </c>
    </row>
    <row r="4" ht="32" customHeight="1" s="4">
      <c r="B4" s="7" t="inlineStr">
        <is>
          <t>・実験結果：報告書 第4章の表1〜表6をまとめたもの。他シートを参照しているので，元データを直せば自動で変わる</t>
        </is>
      </c>
    </row>
    <row r="5" ht="18" customHeight="1" s="4">
      <c r="B5" s="7" t="inlineStr">
        <is>
          <t>・実験1_波長：Na・Hg・Cd の輝線から回折角 θ と波長 λ を計算し，文献値と比較</t>
        </is>
      </c>
    </row>
    <row r="6" ht="18" customHeight="1" s="4">
      <c r="B6" s="7" t="inlineStr">
        <is>
          <t>・実験2_屈折率：Cd 4色の最小偏角 δ0 → 屈折率 n，3回の平均，波長–屈折率のグラフ</t>
        </is>
      </c>
    </row>
    <row r="7" ht="32" customHeight="1" s="4">
      <c r="B7" s="7" t="inlineStr">
        <is>
          <t>・実験3-2_波長校正：Cd 掃引データ，4本のピーク同定，校正曲線 λ = A x² + B x + C，Cd スペクトルと校正曲線のグラフ</t>
        </is>
      </c>
    </row>
    <row r="8" ht="18" customHeight="1" s="4">
      <c r="B8" s="7" t="inlineStr">
        <is>
          <t>・実験3-3_分解能：緑線をスリット 0.1 mm / 1 mm で掃引，ピーク値と半値幅</t>
        </is>
      </c>
    </row>
    <row r="9" ht="18" customHeight="1" s="4">
      <c r="B9" s="7" t="inlineStr">
        <is>
          <t>・実験3-4_白色LED：LED 掃引データを波長に換算，スペクトルのグラフ，2 つの山の半値幅</t>
        </is>
      </c>
    </row>
    <row r="10" ht="18" customHeight="1" s="4">
      <c r="B10" s="7" t="inlineStr">
        <is>
          <t>・week_1：元のデータ（変更していません）</t>
        </is>
      </c>
    </row>
    <row r="11" ht="18" customHeight="1" s="4">
      <c r="B11" s="6" t="inlineStr">
        <is>
          <t>■ 色のルール</t>
        </is>
      </c>
    </row>
    <row r="12" ht="18" customHeight="1" s="4">
      <c r="B12" s="7" t="inlineStr">
        <is>
          <t>・青字＝手稿から転記した測定値／定数　・黒字＝Excel の公式　・緑＝ピーク　・黄色背景＝要確認</t>
        </is>
      </c>
    </row>
    <row r="13" ht="18" customHeight="1" s="4">
      <c r="B13" s="6" t="inlineStr">
        <is>
          <t>■ 主な結果</t>
        </is>
      </c>
    </row>
    <row r="14" ht="32" customHeight="1" s="4">
      <c r="B14" s="7" t="inlineStr">
        <is>
          <t>・校正曲線は 赤 643.847 / 緑 508.582 / 水色 479.992 nm の3点から決定。白色 LED の2つのピークが 580 nm（蛍光体）と 450 nm（青色 LED チップ）になり，校正に使っていないデータで裏が取れている。</t>
        </is>
      </c>
    </row>
    <row r="15" ht="18" customHeight="1" s="4">
      <c r="B15" s="7" t="inlineStr">
        <is>
          <t>・λ は x の増加とともに減少する。</t>
        </is>
      </c>
    </row>
    <row r="16" ht="32" customHeight="1" s="4">
      <c r="B16" s="7" t="inlineStr">
        <is>
          <t>・分解能は 4.4 nm（スリット 0.1 mm）。Cd の 466.235 と 467.815 nm は間隔 1.58 nm なので分離できず，x≈738 の1つのピークとして現れる。</t>
        </is>
      </c>
    </row>
    <row r="17" ht="18" customHeight="1" s="4">
      <c r="B17" s="6" t="inlineStr">
        <is>
          <t>■ 講義の指示と実際の差（報告書に書くこと）</t>
        </is>
      </c>
    </row>
    <row r="18" ht="32" customHeight="1" s="4">
      <c r="B18" s="7" t="inlineStr">
        <is>
          <t>① 実験3-2 は「全ての輝線に対して3回行って平均」だが，実際は連続掃引（赤線のみ2回，他は1回）。データ点数が多く，所要時間の都合で繰り返せなかったと考えられる。</t>
        </is>
      </c>
    </row>
    <row r="19" ht="32" customHeight="1" s="4">
      <c r="B19" s="7" t="inlineStr">
        <is>
          <t>② 実験3-3 のスリット幅は「200〜1000 µm」の指示だが，実際は 100 µm と 1000 µm の2点。</t>
        </is>
      </c>
    </row>
    <row r="20" ht="32" customHeight="1" s="4">
      <c r="B20" s="7" t="inlineStr">
        <is>
          <t>③ 実験3-4 の測定範囲は「350〜800 nm」の指示だが，実測範囲は実験3-4 シートの「測定範囲」を参照。</t>
        </is>
      </c>
    </row>
    <row r="21" ht="32" customHeight="1" s="4">
      <c r="B21" s="7" t="inlineStr">
        <is>
          <t>④ 課題2 は Na・Cd・Hg の輝線幅と白色 LED を比べるが，実験3 で測ったのは Cd のみ。Na・Hg の輝線幅のデータはない。</t>
        </is>
      </c>
    </row>
    <row r="22" ht="18" customHeight="1" s="4">
      <c r="B22" s="6" t="inlineStr">
        <is>
          <t>■ 要確認（黄色のセル）</t>
        </is>
      </c>
    </row>
    <row r="23" ht="32" customHeight="1" s="4">
      <c r="B23" s="7" t="inlineStr">
        <is>
          <t>・実験3-3 の背景 I_b：1 mm の掃引は x=605〜660 しかなく遠方の背景が測られていない。暫定値を入れてあるので，半値幅 11.7 nm には不確かさがある。</t>
        </is>
      </c>
    </row>
  </sheetData>
  <mergeCells count="21">
    <mergeCell ref="B4:L4"/>
    <mergeCell ref="B16:L16"/>
    <mergeCell ref="B7:L7"/>
    <mergeCell ref="B3:L3"/>
    <mergeCell ref="B22:L22"/>
    <mergeCell ref="B18:L18"/>
    <mergeCell ref="B12:L12"/>
    <mergeCell ref="B21:L21"/>
    <mergeCell ref="B11:L11"/>
    <mergeCell ref="B14:L14"/>
    <mergeCell ref="B17:L17"/>
    <mergeCell ref="B23:L23"/>
    <mergeCell ref="B8:L8"/>
    <mergeCell ref="B13:L13"/>
    <mergeCell ref="B19:L19"/>
    <mergeCell ref="B10:L10"/>
    <mergeCell ref="B9:L9"/>
    <mergeCell ref="B6:L6"/>
    <mergeCell ref="B15:L15"/>
    <mergeCell ref="B5:L5"/>
    <mergeCell ref="B20:L20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K71"/>
  <sheetViews>
    <sheetView showGridLines="0" workbookViewId="0">
      <selection activeCell="A1" sqref="A1"/>
    </sheetView>
  </sheetViews>
  <sheetFormatPr baseColWidth="8" defaultRowHeight="15"/>
  <cols>
    <col width="2" customWidth="1" style="4" min="1" max="1"/>
    <col width="21" customWidth="1" style="4" min="2" max="2"/>
    <col width="21" customWidth="1" style="4" min="3" max="3"/>
    <col width="16" customWidth="1" style="4" min="4" max="4"/>
    <col width="19" customWidth="1" style="4" min="5" max="5"/>
    <col width="14" customWidth="1" style="4" min="6" max="6"/>
    <col width="10" customWidth="1" style="4" min="7" max="7"/>
    <col width="11" customWidth="1" style="4" min="8" max="8"/>
    <col width="10" customWidth="1" style="4" min="9" max="9"/>
    <col width="14" customWidth="1" style="4" min="10" max="10"/>
    <col width="15" customWidth="1" style="4" min="11" max="11"/>
  </cols>
  <sheetData>
    <row r="1">
      <c r="B1" s="8" t="inlineStr">
        <is>
          <t>実験結果　（報告書の表1〜表8をそのまま）</t>
        </is>
      </c>
    </row>
    <row r="2">
      <c r="B2" s="9" t="inlineStr">
        <is>
          <t>報告書と同じ列・同じ並び・同じ桁数。数値は各シートを参照しているので、元データを直せばここも変わる。</t>
        </is>
      </c>
    </row>
    <row r="4">
      <c r="B4" s="10" t="inlineStr">
        <is>
          <t>表1　各ランプの輝線の波長</t>
        </is>
      </c>
    </row>
    <row r="5">
      <c r="B5" s="11" t="inlineStr">
        <is>
          <t>ランプ</t>
        </is>
      </c>
      <c r="C5" s="11" t="inlineStr">
        <is>
          <t>色</t>
        </is>
      </c>
      <c r="D5" s="11" t="inlineStr">
        <is>
          <t>x1 左 [mm]</t>
        </is>
      </c>
      <c r="E5" s="11" t="inlineStr">
        <is>
          <t>x1 中 [mm]</t>
        </is>
      </c>
      <c r="F5" s="11" t="inlineStr">
        <is>
          <t>x1 右 [mm]</t>
        </is>
      </c>
      <c r="G5" s="11" t="inlineStr">
        <is>
          <t>x [mm]</t>
        </is>
      </c>
      <c r="H5" s="11" t="inlineStr">
        <is>
          <t>θ [deg]</t>
        </is>
      </c>
      <c r="I5" s="11" t="inlineStr">
        <is>
          <t>λ [nm]</t>
        </is>
      </c>
      <c r="J5" s="11" t="inlineStr">
        <is>
          <t>文献値 [nm]</t>
        </is>
      </c>
      <c r="K5" s="11" t="inlineStr">
        <is>
          <t>相対誤差 [%]</t>
        </is>
      </c>
    </row>
    <row r="6">
      <c r="B6" s="12" t="inlineStr">
        <is>
          <t>Na</t>
        </is>
      </c>
      <c r="C6" s="12" t="inlineStr">
        <is>
          <t>オレンジ</t>
        </is>
      </c>
      <c r="D6" s="13">
        <f>IF('実験1_波長'!F12="","—",TEXT('実験1_波長'!F12,"0.0"))</f>
        <v/>
      </c>
      <c r="E6" s="13">
        <f>IF('実験1_波長'!G12="","—",TEXT('実験1_波長'!G12,"0.0"))</f>
        <v/>
      </c>
      <c r="F6" s="13">
        <f>IF('実験1_波長'!H12="","—",TEXT('実験1_波長'!H12,"0.0"))</f>
        <v/>
      </c>
      <c r="G6" s="14">
        <f>'実験1_波長'!I12</f>
        <v/>
      </c>
      <c r="H6" s="15">
        <f>'実験1_波長'!J12</f>
        <v/>
      </c>
      <c r="I6" s="14">
        <f>'実験1_波長'!K12</f>
        <v/>
      </c>
      <c r="J6" s="14">
        <f>'実験1_波長'!L12</f>
        <v/>
      </c>
      <c r="K6" s="14">
        <f>'実験1_波長'!N12</f>
        <v/>
      </c>
    </row>
    <row r="7">
      <c r="B7" s="12" t="inlineStr">
        <is>
          <t>Hg</t>
        </is>
      </c>
      <c r="C7" s="12" t="inlineStr">
        <is>
          <t>オレンジ</t>
        </is>
      </c>
      <c r="D7" s="13">
        <f>IF('実験1_波長'!F14="","—",TEXT('実験1_波長'!F14,"0.0"))</f>
        <v/>
      </c>
      <c r="E7" s="13">
        <f>IF('実験1_波長'!G14="","—",TEXT('実験1_波長'!G14,"0.0"))</f>
        <v/>
      </c>
      <c r="F7" s="13">
        <f>IF('実験1_波長'!H14="","—",TEXT('実験1_波長'!H14,"0.0"))</f>
        <v/>
      </c>
      <c r="G7" s="14">
        <f>'実験1_波長'!I14</f>
        <v/>
      </c>
      <c r="H7" s="15">
        <f>'実験1_波長'!J14</f>
        <v/>
      </c>
      <c r="I7" s="14">
        <f>'実験1_波長'!K14</f>
        <v/>
      </c>
      <c r="J7" s="14">
        <f>'実験1_波長'!L14</f>
        <v/>
      </c>
      <c r="K7" s="14">
        <f>'実験1_波長'!N14</f>
        <v/>
      </c>
    </row>
    <row r="8">
      <c r="B8" s="12" t="inlineStr">
        <is>
          <t>Hg</t>
        </is>
      </c>
      <c r="C8" s="12" t="inlineStr">
        <is>
          <t>緑</t>
        </is>
      </c>
      <c r="D8" s="13">
        <f>IF('実験1_波長'!F15="","—",TEXT('実験1_波長'!F15,"0.0"))</f>
        <v/>
      </c>
      <c r="E8" s="13">
        <f>IF('実験1_波長'!G15="","—",TEXT('実験1_波長'!G15,"0.0"))</f>
        <v/>
      </c>
      <c r="F8" s="13">
        <f>IF('実験1_波長'!H15="","—",TEXT('実験1_波長'!H15,"0.0"))</f>
        <v/>
      </c>
      <c r="G8" s="14">
        <f>'実験1_波長'!I15</f>
        <v/>
      </c>
      <c r="H8" s="15">
        <f>'実験1_波長'!J15</f>
        <v/>
      </c>
      <c r="I8" s="14">
        <f>'実験1_波長'!K15</f>
        <v/>
      </c>
      <c r="J8" s="14">
        <f>'実験1_波長'!L15</f>
        <v/>
      </c>
      <c r="K8" s="14">
        <f>'実験1_波長'!N15</f>
        <v/>
      </c>
    </row>
    <row r="9">
      <c r="B9" s="12" t="inlineStr">
        <is>
          <t>Hg</t>
        </is>
      </c>
      <c r="C9" s="12" t="inlineStr">
        <is>
          <t>青</t>
        </is>
      </c>
      <c r="D9" s="13">
        <f>IF('実験1_波長'!F16="","—",TEXT('実験1_波長'!F16,"0.0"))</f>
        <v/>
      </c>
      <c r="E9" s="13">
        <f>IF('実験1_波長'!G16="","—",TEXT('実験1_波長'!G16,"0.0"))</f>
        <v/>
      </c>
      <c r="F9" s="13">
        <f>IF('実験1_波長'!H16="","—",TEXT('実験1_波長'!H16,"0.0"))</f>
        <v/>
      </c>
      <c r="G9" s="14">
        <f>'実験1_波長'!I16</f>
        <v/>
      </c>
      <c r="H9" s="15">
        <f>'実験1_波長'!J16</f>
        <v/>
      </c>
      <c r="I9" s="14">
        <f>'実験1_波長'!K16</f>
        <v/>
      </c>
      <c r="J9" s="14">
        <f>'実験1_波長'!L16</f>
        <v/>
      </c>
      <c r="K9" s="14">
        <f>'実験1_波長'!N16</f>
        <v/>
      </c>
    </row>
    <row r="10">
      <c r="B10" s="12" t="inlineStr">
        <is>
          <t>Cd</t>
        </is>
      </c>
      <c r="C10" s="12" t="inlineStr">
        <is>
          <t>赤</t>
        </is>
      </c>
      <c r="D10" s="13">
        <f>IF('実験1_波長'!F17="","—",TEXT('実験1_波長'!F17,"0.0"))</f>
        <v/>
      </c>
      <c r="E10" s="13">
        <f>IF('実験1_波長'!G17="","—",TEXT('実験1_波長'!G17,"0.0"))</f>
        <v/>
      </c>
      <c r="F10" s="13">
        <f>IF('実験1_波長'!H17="","—",TEXT('実験1_波長'!H17,"0.0"))</f>
        <v/>
      </c>
      <c r="G10" s="14">
        <f>'実験1_波長'!I17</f>
        <v/>
      </c>
      <c r="H10" s="15">
        <f>'実験1_波長'!J17</f>
        <v/>
      </c>
      <c r="I10" s="14">
        <f>'実験1_波長'!K17</f>
        <v/>
      </c>
      <c r="J10" s="14">
        <f>'実験1_波長'!L17</f>
        <v/>
      </c>
      <c r="K10" s="14">
        <f>'実験1_波長'!N17</f>
        <v/>
      </c>
    </row>
    <row r="11">
      <c r="B11" s="12" t="inlineStr">
        <is>
          <t>Cd</t>
        </is>
      </c>
      <c r="C11" s="12" t="inlineStr">
        <is>
          <t>緑</t>
        </is>
      </c>
      <c r="D11" s="13">
        <f>IF('実験1_波長'!F18="","—",TEXT('実験1_波長'!F18,"0.0"))</f>
        <v/>
      </c>
      <c r="E11" s="13">
        <f>IF('実験1_波長'!G18="","—",TEXT('実験1_波長'!G18,"0.0"))</f>
        <v/>
      </c>
      <c r="F11" s="13">
        <f>IF('実験1_波長'!H18="","—",TEXT('実験1_波長'!H18,"0.0"))</f>
        <v/>
      </c>
      <c r="G11" s="14">
        <f>'実験1_波長'!I18</f>
        <v/>
      </c>
      <c r="H11" s="15">
        <f>'実験1_波長'!J18</f>
        <v/>
      </c>
      <c r="I11" s="14">
        <f>'実験1_波長'!K18</f>
        <v/>
      </c>
      <c r="J11" s="14">
        <f>'実験1_波長'!L18</f>
        <v/>
      </c>
      <c r="K11" s="14">
        <f>'実験1_波長'!N18</f>
        <v/>
      </c>
    </row>
    <row r="12">
      <c r="B12" s="12" t="inlineStr">
        <is>
          <t>Cd</t>
        </is>
      </c>
      <c r="C12" s="12" t="inlineStr">
        <is>
          <t>水色</t>
        </is>
      </c>
      <c r="D12" s="13">
        <f>IF('実験1_波長'!F19="","—",TEXT('実験1_波長'!F19,"0.0"))</f>
        <v/>
      </c>
      <c r="E12" s="13">
        <f>IF('実験1_波長'!G19="","—",TEXT('実験1_波長'!G19,"0.0"))</f>
        <v/>
      </c>
      <c r="F12" s="13">
        <f>IF('実験1_波長'!H19="","—",TEXT('実験1_波長'!H19,"0.0"))</f>
        <v/>
      </c>
      <c r="G12" s="14">
        <f>'実験1_波長'!I19</f>
        <v/>
      </c>
      <c r="H12" s="15">
        <f>'実験1_波長'!J19</f>
        <v/>
      </c>
      <c r="I12" s="14">
        <f>'実験1_波長'!K19</f>
        <v/>
      </c>
      <c r="J12" s="14">
        <f>'実験1_波長'!L19</f>
        <v/>
      </c>
      <c r="K12" s="14">
        <f>'実験1_波長'!N19</f>
        <v/>
      </c>
    </row>
    <row r="13">
      <c r="B13" s="12" t="inlineStr">
        <is>
          <t>Cd</t>
        </is>
      </c>
      <c r="C13" s="12" t="inlineStr">
        <is>
          <t>青</t>
        </is>
      </c>
      <c r="D13" s="13">
        <f>IF('実験1_波長'!F20="","—",TEXT('実験1_波長'!F20,"0.0"))</f>
        <v/>
      </c>
      <c r="E13" s="13">
        <f>IF('実験1_波長'!G20="","—",TEXT('実験1_波長'!G20,"0.0"))</f>
        <v/>
      </c>
      <c r="F13" s="13">
        <f>IF('実験1_波長'!H20="","—",TEXT('実験1_波長'!H20,"0.0"))</f>
        <v/>
      </c>
      <c r="G13" s="14">
        <f>'実験1_波長'!I20</f>
        <v/>
      </c>
      <c r="H13" s="15">
        <f>'実験1_波長'!J20</f>
        <v/>
      </c>
      <c r="I13" s="14">
        <f>'実験1_波長'!K20</f>
        <v/>
      </c>
      <c r="J13" s="14">
        <f>'実験1_波長'!L20</f>
        <v/>
      </c>
      <c r="K13" s="14">
        <f>'実験1_波長'!N20</f>
        <v/>
      </c>
    </row>
    <row r="15">
      <c r="B15" s="10" t="inlineStr">
        <is>
          <t>表2　各スクリーン位置における最小偏角と屈折率</t>
        </is>
      </c>
    </row>
    <row r="16">
      <c r="B16" s="11" t="inlineStr">
        <is>
          <t>色</t>
        </is>
      </c>
      <c r="C16" s="11" t="inlineStr">
        <is>
          <t>λ [nm]</t>
        </is>
      </c>
      <c r="D16" s="11" t="inlineStr">
        <is>
          <t>L [mm]</t>
        </is>
      </c>
      <c r="E16" s="11" t="inlineStr">
        <is>
          <t>x [mm]</t>
        </is>
      </c>
      <c r="F16" s="11" t="inlineStr">
        <is>
          <t>δ₀ [deg]</t>
        </is>
      </c>
      <c r="G16" s="11" t="inlineStr">
        <is>
          <t>n</t>
        </is>
      </c>
    </row>
    <row r="17">
      <c r="B17" s="12" t="inlineStr">
        <is>
          <t>赤</t>
        </is>
      </c>
      <c r="C17" s="14">
        <f>'実験2_屈折率'!C8</f>
        <v/>
      </c>
      <c r="D17" s="16">
        <f>'実験2_屈折率'!D$6</f>
        <v/>
      </c>
      <c r="E17" s="16">
        <f>'実験2_屈折率'!D8</f>
        <v/>
      </c>
      <c r="F17" s="15">
        <f>'実験2_屈折率'!E8</f>
        <v/>
      </c>
      <c r="G17" s="17">
        <f>'実験2_屈折率'!F8</f>
        <v/>
      </c>
    </row>
    <row r="18">
      <c r="B18" s="12" t="inlineStr">
        <is>
          <t>赤</t>
        </is>
      </c>
      <c r="C18" s="14">
        <f>'実験2_屈折率'!C8</f>
        <v/>
      </c>
      <c r="D18" s="16">
        <f>'実験2_屈折率'!G$6</f>
        <v/>
      </c>
      <c r="E18" s="16">
        <f>'実験2_屈折率'!G8</f>
        <v/>
      </c>
      <c r="F18" s="15">
        <f>'実験2_屈折率'!H8</f>
        <v/>
      </c>
      <c r="G18" s="17">
        <f>'実験2_屈折率'!I8</f>
        <v/>
      </c>
    </row>
    <row r="19">
      <c r="B19" s="12" t="inlineStr">
        <is>
          <t>赤</t>
        </is>
      </c>
      <c r="C19" s="14">
        <f>'実験2_屈折率'!C8</f>
        <v/>
      </c>
      <c r="D19" s="16">
        <f>'実験2_屈折率'!J$6</f>
        <v/>
      </c>
      <c r="E19" s="16">
        <f>'実験2_屈折率'!J8</f>
        <v/>
      </c>
      <c r="F19" s="15">
        <f>'実験2_屈折率'!K8</f>
        <v/>
      </c>
      <c r="G19" s="17">
        <f>'実験2_屈折率'!L8</f>
        <v/>
      </c>
    </row>
    <row r="20">
      <c r="B20" s="12" t="inlineStr">
        <is>
          <t>緑</t>
        </is>
      </c>
      <c r="C20" s="14">
        <f>'実験2_屈折率'!C9</f>
        <v/>
      </c>
      <c r="D20" s="16">
        <f>'実験2_屈折率'!D$6</f>
        <v/>
      </c>
      <c r="E20" s="16">
        <f>'実験2_屈折率'!D9</f>
        <v/>
      </c>
      <c r="F20" s="15">
        <f>'実験2_屈折率'!E9</f>
        <v/>
      </c>
      <c r="G20" s="17">
        <f>'実験2_屈折率'!F9</f>
        <v/>
      </c>
    </row>
    <row r="21">
      <c r="B21" s="12" t="inlineStr">
        <is>
          <t>緑</t>
        </is>
      </c>
      <c r="C21" s="14">
        <f>'実験2_屈折率'!C9</f>
        <v/>
      </c>
      <c r="D21" s="16">
        <f>'実験2_屈折率'!G$6</f>
        <v/>
      </c>
      <c r="E21" s="16">
        <f>'実験2_屈折率'!G9</f>
        <v/>
      </c>
      <c r="F21" s="15">
        <f>'実験2_屈折率'!H9</f>
        <v/>
      </c>
      <c r="G21" s="17">
        <f>'実験2_屈折率'!I9</f>
        <v/>
      </c>
    </row>
    <row r="22">
      <c r="B22" s="12" t="inlineStr">
        <is>
          <t>緑</t>
        </is>
      </c>
      <c r="C22" s="14">
        <f>'実験2_屈折率'!C9</f>
        <v/>
      </c>
      <c r="D22" s="16">
        <f>'実験2_屈折率'!J$6</f>
        <v/>
      </c>
      <c r="E22" s="16">
        <f>'実験2_屈折率'!J9</f>
        <v/>
      </c>
      <c r="F22" s="15">
        <f>'実験2_屈折率'!K9</f>
        <v/>
      </c>
      <c r="G22" s="17">
        <f>'実験2_屈折率'!L9</f>
        <v/>
      </c>
    </row>
    <row r="23">
      <c r="B23" s="12" t="inlineStr">
        <is>
          <t>水色</t>
        </is>
      </c>
      <c r="C23" s="14">
        <f>'実験2_屈折率'!C10</f>
        <v/>
      </c>
      <c r="D23" s="16">
        <f>'実験2_屈折率'!D$6</f>
        <v/>
      </c>
      <c r="E23" s="16">
        <f>'実験2_屈折率'!D10</f>
        <v/>
      </c>
      <c r="F23" s="15">
        <f>'実験2_屈折率'!E10</f>
        <v/>
      </c>
      <c r="G23" s="17">
        <f>'実験2_屈折率'!F10</f>
        <v/>
      </c>
    </row>
    <row r="24">
      <c r="B24" s="12" t="inlineStr">
        <is>
          <t>水色</t>
        </is>
      </c>
      <c r="C24" s="14">
        <f>'実験2_屈折率'!C10</f>
        <v/>
      </c>
      <c r="D24" s="16">
        <f>'実験2_屈折率'!G$6</f>
        <v/>
      </c>
      <c r="E24" s="16">
        <f>'実験2_屈折率'!G10</f>
        <v/>
      </c>
      <c r="F24" s="15">
        <f>'実験2_屈折率'!H10</f>
        <v/>
      </c>
      <c r="G24" s="17">
        <f>'実験2_屈折率'!I10</f>
        <v/>
      </c>
    </row>
    <row r="25">
      <c r="B25" s="12" t="inlineStr">
        <is>
          <t>水色</t>
        </is>
      </c>
      <c r="C25" s="14">
        <f>'実験2_屈折率'!C10</f>
        <v/>
      </c>
      <c r="D25" s="16">
        <f>'実験2_屈折率'!J$6</f>
        <v/>
      </c>
      <c r="E25" s="16">
        <f>'実験2_屈折率'!J10</f>
        <v/>
      </c>
      <c r="F25" s="15">
        <f>'実験2_屈折率'!K10</f>
        <v/>
      </c>
      <c r="G25" s="17">
        <f>'実験2_屈折率'!L10</f>
        <v/>
      </c>
    </row>
    <row r="26">
      <c r="B26" s="12" t="inlineStr">
        <is>
          <t>青</t>
        </is>
      </c>
      <c r="C26" s="14">
        <f>'実験2_屈折率'!C11</f>
        <v/>
      </c>
      <c r="D26" s="16">
        <f>'実験2_屈折率'!D$6</f>
        <v/>
      </c>
      <c r="E26" s="16">
        <f>'実験2_屈折率'!D11</f>
        <v/>
      </c>
      <c r="F26" s="15">
        <f>'実験2_屈折率'!E11</f>
        <v/>
      </c>
      <c r="G26" s="17">
        <f>'実験2_屈折率'!F11</f>
        <v/>
      </c>
    </row>
    <row r="27">
      <c r="B27" s="12" t="inlineStr">
        <is>
          <t>青</t>
        </is>
      </c>
      <c r="C27" s="14">
        <f>'実験2_屈折率'!C11</f>
        <v/>
      </c>
      <c r="D27" s="16">
        <f>'実験2_屈折率'!G$6</f>
        <v/>
      </c>
      <c r="E27" s="16">
        <f>'実験2_屈折率'!G11</f>
        <v/>
      </c>
      <c r="F27" s="15">
        <f>'実験2_屈折率'!H11</f>
        <v/>
      </c>
      <c r="G27" s="17">
        <f>'実験2_屈折率'!I11</f>
        <v/>
      </c>
    </row>
    <row r="28">
      <c r="B28" s="12" t="inlineStr">
        <is>
          <t>青</t>
        </is>
      </c>
      <c r="C28" s="14">
        <f>'実験2_屈折率'!C11</f>
        <v/>
      </c>
      <c r="D28" s="16">
        <f>'実験2_屈折率'!J$6</f>
        <v/>
      </c>
      <c r="E28" s="16">
        <f>'実験2_屈折率'!J11</f>
        <v/>
      </c>
      <c r="F28" s="15">
        <f>'実験2_屈折率'!K11</f>
        <v/>
      </c>
      <c r="G28" s="17">
        <f>'実験2_屈折率'!L11</f>
        <v/>
      </c>
    </row>
    <row r="30">
      <c r="B30" s="10" t="inlineStr">
        <is>
          <t>表3　屈折率の平均値</t>
        </is>
      </c>
    </row>
    <row r="31">
      <c r="B31" s="11" t="inlineStr">
        <is>
          <t>色</t>
        </is>
      </c>
      <c r="C31" s="11" t="inlineStr">
        <is>
          <t>λ [nm]</t>
        </is>
      </c>
      <c r="D31" s="11" t="inlineStr">
        <is>
          <t>n（3 回の平均）</t>
        </is>
      </c>
    </row>
    <row r="32">
      <c r="B32" s="12" t="inlineStr">
        <is>
          <t>赤</t>
        </is>
      </c>
      <c r="C32" s="14">
        <f>'実験2_屈折率'!C8</f>
        <v/>
      </c>
      <c r="D32" s="17">
        <f>'実験2_屈折率'!M8</f>
        <v/>
      </c>
    </row>
    <row r="33">
      <c r="B33" s="12" t="inlineStr">
        <is>
          <t>緑</t>
        </is>
      </c>
      <c r="C33" s="14">
        <f>'実験2_屈折率'!C9</f>
        <v/>
      </c>
      <c r="D33" s="17">
        <f>'実験2_屈折率'!M9</f>
        <v/>
      </c>
    </row>
    <row r="34">
      <c r="B34" s="12" t="inlineStr">
        <is>
          <t>水色</t>
        </is>
      </c>
      <c r="C34" s="14">
        <f>'実験2_屈折率'!C10</f>
        <v/>
      </c>
      <c r="D34" s="17">
        <f>'実験2_屈折率'!M10</f>
        <v/>
      </c>
    </row>
    <row r="35">
      <c r="B35" s="12" t="inlineStr">
        <is>
          <t>青</t>
        </is>
      </c>
      <c r="C35" s="14">
        <f>'実験2_屈折率'!C11</f>
        <v/>
      </c>
      <c r="D35" s="17">
        <f>'実験2_屈折率'!M11</f>
        <v/>
      </c>
    </row>
    <row r="37">
      <c r="B37" s="10" t="inlineStr">
        <is>
          <t>表4　Cd ランプの輝線のピーク位置</t>
        </is>
      </c>
    </row>
    <row r="38">
      <c r="B38" s="11" t="inlineStr">
        <is>
          <t>色</t>
        </is>
      </c>
      <c r="C38" s="11" t="inlineStr">
        <is>
          <t>ピーク位置 x [目盛]</t>
        </is>
      </c>
      <c r="D38" s="11" t="inlineStr">
        <is>
          <t>ピーク出力 [V]</t>
        </is>
      </c>
      <c r="E38" s="11" t="inlineStr">
        <is>
          <t>文献波長 [nm]</t>
        </is>
      </c>
    </row>
    <row r="39">
      <c r="B39" s="12" t="inlineStr">
        <is>
          <t>赤</t>
        </is>
      </c>
      <c r="C39" s="14">
        <f>'実験3-2_波長校正'!C6</f>
        <v/>
      </c>
      <c r="D39" s="17">
        <f>'実験3-2_波長校正'!D6</f>
        <v/>
      </c>
      <c r="E39" s="13">
        <f>TEXT('実験3-2_波長校正'!E6,"0.000")</f>
        <v/>
      </c>
      <c r="G39" s="9" t="inlineStr">
        <is>
          <t>校正には赤・緑・水色の3本を使った。青は2本の輝線が重なっているため使わなかった。</t>
        </is>
      </c>
    </row>
    <row r="40">
      <c r="B40" s="12" t="inlineStr">
        <is>
          <t>緑</t>
        </is>
      </c>
      <c r="C40" s="14">
        <f>'実験3-2_波長校正'!C7</f>
        <v/>
      </c>
      <c r="D40" s="17">
        <f>'実験3-2_波長校正'!D7</f>
        <v/>
      </c>
      <c r="E40" s="13">
        <f>TEXT('実験3-2_波長校正'!E7,"0.000")</f>
        <v/>
      </c>
    </row>
    <row r="41">
      <c r="B41" s="12" t="inlineStr">
        <is>
          <t>水色</t>
        </is>
      </c>
      <c r="C41" s="14">
        <f>'実験3-2_波長校正'!C8</f>
        <v/>
      </c>
      <c r="D41" s="17">
        <f>'実験3-2_波長校正'!D8</f>
        <v/>
      </c>
      <c r="E41" s="13">
        <f>TEXT('実験3-2_波長校正'!E8,"0.000")</f>
        <v/>
      </c>
    </row>
    <row r="42">
      <c r="B42" s="12" t="inlineStr">
        <is>
          <t>青</t>
        </is>
      </c>
      <c r="C42" s="14">
        <f>'実験3-2_波長校正'!C9</f>
        <v/>
      </c>
      <c r="D42" s="17">
        <f>'実験3-2_波長校正'!D9</f>
        <v/>
      </c>
      <c r="E42" s="13" t="inlineStr">
        <is>
          <t>466.235 / 467.815</t>
        </is>
      </c>
    </row>
    <row r="44">
      <c r="B44" s="10" t="inlineStr">
        <is>
          <t>表5　入射スリット幅とスペクトル幅（Cd 緑線 508.582 nm）</t>
        </is>
      </c>
    </row>
    <row r="45">
      <c r="B45" s="11" t="inlineStr">
        <is>
          <t>入射スリット幅 [mm]</t>
        </is>
      </c>
      <c r="C45" s="11" t="inlineStr">
        <is>
          <t>ピーク出力 [V]</t>
        </is>
      </c>
      <c r="D45" s="11" t="inlineStr">
        <is>
          <t>半値幅 [nm]</t>
        </is>
      </c>
    </row>
    <row r="46">
      <c r="B46" s="14">
        <f>'実験3-3_分解能'!H19/1000</f>
        <v/>
      </c>
      <c r="C46" s="17">
        <f>'実験3-3_分解能'!I19</f>
        <v/>
      </c>
      <c r="D46" s="14">
        <f>'実験3-3_分解能'!J19</f>
        <v/>
      </c>
    </row>
    <row r="47">
      <c r="B47" s="14">
        <f>'実験3-3_分解能'!H20/1000</f>
        <v/>
      </c>
      <c r="C47" s="17">
        <f>'実験3-3_分解能'!I20</f>
        <v/>
      </c>
      <c r="D47" s="14">
        <f>'実験3-3_分解能'!J20</f>
        <v/>
      </c>
    </row>
    <row r="49">
      <c r="B49" s="10" t="inlineStr">
        <is>
          <t>表6　白色 LED のピーク波長とスペクトル幅</t>
        </is>
      </c>
    </row>
    <row r="50">
      <c r="B50" s="11" t="inlineStr">
        <is>
          <t>山</t>
        </is>
      </c>
      <c r="C50" s="11" t="inlineStr">
        <is>
          <t>ピーク波長 [nm]</t>
        </is>
      </c>
      <c r="D50" s="11" t="inlineStr">
        <is>
          <t>ピーク出力 [V]</t>
        </is>
      </c>
      <c r="E50" s="11" t="inlineStr">
        <is>
          <t>半値幅 [nm]</t>
        </is>
      </c>
    </row>
    <row r="51">
      <c r="B51" s="12" t="inlineStr">
        <is>
          <t>長波長側</t>
        </is>
      </c>
      <c r="C51" s="14">
        <f>'実験3-4_白色LED'!G8</f>
        <v/>
      </c>
      <c r="D51" s="17">
        <f>'実験3-4_白色LED'!G7</f>
        <v/>
      </c>
      <c r="E51" s="16">
        <f>'実験3-4_白色LED'!G19</f>
        <v/>
      </c>
    </row>
    <row r="52">
      <c r="B52" s="12" t="inlineStr">
        <is>
          <t>短波長側</t>
        </is>
      </c>
      <c r="C52" s="14">
        <f>'実験3-4_白色LED'!G10</f>
        <v/>
      </c>
      <c r="D52" s="17">
        <f>'実験3-4_白色LED'!G9</f>
        <v/>
      </c>
      <c r="E52" s="16">
        <f>'実験3-4_白色LED'!H19</f>
        <v/>
      </c>
    </row>
    <row r="54">
      <c r="B54" s="10" t="inlineStr">
        <is>
          <t>表7　観測した輝線の色と波長</t>
        </is>
      </c>
    </row>
    <row r="55">
      <c r="B55" s="11" t="inlineStr">
        <is>
          <t>色</t>
        </is>
      </c>
      <c r="C55" s="11" t="inlineStr">
        <is>
          <t>λ [nm]</t>
        </is>
      </c>
      <c r="D55" s="11" t="inlineStr">
        <is>
          <t>光源</t>
        </is>
      </c>
    </row>
    <row r="56">
      <c r="B56" s="12" t="inlineStr">
        <is>
          <t>赤</t>
        </is>
      </c>
      <c r="C56" s="14">
        <f>'実験1_波長'!L17</f>
        <v/>
      </c>
      <c r="D56" s="12" t="inlineStr">
        <is>
          <t>Cd</t>
        </is>
      </c>
    </row>
    <row r="57">
      <c r="B57" s="12" t="inlineStr">
        <is>
          <t>オレンジ</t>
        </is>
      </c>
      <c r="C57" s="14">
        <f>'実験1_波長'!L12</f>
        <v/>
      </c>
      <c r="D57" s="12" t="inlineStr">
        <is>
          <t>Na</t>
        </is>
      </c>
    </row>
    <row r="58">
      <c r="B58" s="12" t="inlineStr">
        <is>
          <t>オレンジ</t>
        </is>
      </c>
      <c r="C58" s="14">
        <f>'実験1_波長'!L14</f>
        <v/>
      </c>
      <c r="D58" s="12" t="inlineStr">
        <is>
          <t>Hg</t>
        </is>
      </c>
    </row>
    <row r="59">
      <c r="B59" s="12" t="inlineStr">
        <is>
          <t>緑</t>
        </is>
      </c>
      <c r="C59" s="14">
        <f>'実験1_波長'!L15</f>
        <v/>
      </c>
      <c r="D59" s="12" t="inlineStr">
        <is>
          <t>Hg</t>
        </is>
      </c>
    </row>
    <row r="60">
      <c r="B60" s="12" t="inlineStr">
        <is>
          <t>緑</t>
        </is>
      </c>
      <c r="C60" s="14">
        <f>'実験1_波長'!L18</f>
        <v/>
      </c>
      <c r="D60" s="12" t="inlineStr">
        <is>
          <t>Cd</t>
        </is>
      </c>
    </row>
    <row r="61">
      <c r="B61" s="12" t="inlineStr">
        <is>
          <t>水色</t>
        </is>
      </c>
      <c r="C61" s="14">
        <f>'実験1_波長'!L19</f>
        <v/>
      </c>
      <c r="D61" s="12" t="inlineStr">
        <is>
          <t>Cd</t>
        </is>
      </c>
    </row>
    <row r="62">
      <c r="B62" s="12" t="inlineStr">
        <is>
          <t>青</t>
        </is>
      </c>
      <c r="C62" s="14">
        <f>'実験1_波長'!L20</f>
        <v/>
      </c>
      <c r="D62" s="12" t="inlineStr">
        <is>
          <t>Cd</t>
        </is>
      </c>
    </row>
    <row r="63">
      <c r="B63" s="12" t="inlineStr">
        <is>
          <t>青</t>
        </is>
      </c>
      <c r="C63" s="14">
        <f>'実験1_波長'!L16</f>
        <v/>
      </c>
      <c r="D63" s="12" t="inlineStr">
        <is>
          <t>Hg</t>
        </is>
      </c>
    </row>
    <row r="65">
      <c r="B65" s="10" t="inlineStr">
        <is>
          <t>表8　輝線と白色 LED のスペクトル幅の比較</t>
        </is>
      </c>
    </row>
    <row r="66">
      <c r="B66" s="11" t="inlineStr">
        <is>
          <t>光源</t>
        </is>
      </c>
      <c r="C66" s="11" t="inlineStr">
        <is>
          <t>ピーク波長 [nm]</t>
        </is>
      </c>
      <c r="D66" s="11" t="inlineStr">
        <is>
          <t>半値幅 [nm]</t>
        </is>
      </c>
    </row>
    <row r="67">
      <c r="B67" s="12" t="inlineStr">
        <is>
          <t>Cd 緑線</t>
        </is>
      </c>
      <c r="C67" s="14">
        <f>'実験3-3_分解能'!I15</f>
        <v/>
      </c>
      <c r="D67" s="14">
        <f>'実験3-3_分解能'!I14</f>
        <v/>
      </c>
    </row>
    <row r="68">
      <c r="B68" s="12" t="inlineStr">
        <is>
          <t>白色 LED（長波長側）</t>
        </is>
      </c>
      <c r="C68" s="14">
        <f>'実験3-4_白色LED'!G8</f>
        <v/>
      </c>
      <c r="D68" s="14">
        <f>'実験3-4_白色LED'!G19</f>
        <v/>
      </c>
    </row>
    <row r="69">
      <c r="B69" s="12" t="inlineStr">
        <is>
          <t>白色 LED（短波長側）</t>
        </is>
      </c>
      <c r="C69" s="14">
        <f>'実験3-4_白色LED'!G10</f>
        <v/>
      </c>
      <c r="D69" s="14">
        <f>'実験3-4_白色LED'!H19</f>
        <v/>
      </c>
    </row>
    <row r="71">
      <c r="B71" s="9" t="inlineStr">
        <is>
          <t>※ 表1〜表6 は報告書 第4章、表7・表8 は第5章 課題。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O20"/>
  <sheetViews>
    <sheetView showGridLines="0" workbookViewId="0">
      <selection activeCell="A1" sqref="A1"/>
    </sheetView>
  </sheetViews>
  <sheetFormatPr baseColWidth="8" defaultRowHeight="15"/>
  <cols>
    <col width="2" customWidth="1" style="4" min="1" max="1"/>
    <col width="26" customWidth="1" style="4" min="2" max="2"/>
    <col width="20" customWidth="1" style="4" min="3" max="3"/>
    <col width="9" customWidth="1" style="4" min="4" max="4"/>
    <col width="9" customWidth="1" style="4" min="5" max="5"/>
    <col width="11" customWidth="1" style="4" min="6" max="6"/>
    <col width="11" customWidth="1" style="4" min="7" max="7"/>
    <col width="11" customWidth="1" style="4" min="8" max="8"/>
    <col width="14" customWidth="1" style="4" min="9" max="9"/>
    <col width="10" customWidth="1" style="4" min="10" max="10"/>
    <col width="10" customWidth="1" style="4" min="11" max="11"/>
    <col width="12" customWidth="1" style="4" min="12" max="12"/>
    <col width="13" customWidth="1" style="4" min="13" max="13"/>
    <col width="11" customWidth="1" style="4" min="14" max="14"/>
    <col width="62" customWidth="1" style="4" min="15" max="15"/>
  </cols>
  <sheetData>
    <row r="1">
      <c r="B1" s="5" t="inlineStr">
        <is>
          <t>実験1　各種ランプの輝線の波長（反射型回折格子・1次回折光）</t>
        </is>
      </c>
    </row>
    <row r="2">
      <c r="B2" s="18" t="inlineStr">
        <is>
          <t>式: tanθ = (x0 + x1) / L ，　d sinθ = mλ（m = 1）。青字＝手稿から転記した入力値，黒字＝Excel公式，黄色＝要確認。</t>
        </is>
      </c>
    </row>
    <row r="4" ht="18" customHeight="1" s="4">
      <c r="B4" s="19" t="inlineStr">
        <is>
          <t>定数</t>
        </is>
      </c>
      <c r="C4" s="19" t="inlineStr">
        <is>
          <t>値</t>
        </is>
      </c>
      <c r="D4" s="19" t="inlineStr">
        <is>
          <t>単位</t>
        </is>
      </c>
      <c r="E4" s="19" t="inlineStr">
        <is>
          <t>出典</t>
        </is>
      </c>
      <c r="F4" s="20" t="n"/>
      <c r="G4" s="20" t="n"/>
      <c r="H4" s="20" t="n"/>
    </row>
    <row r="5">
      <c r="B5" s="21" t="inlineStr">
        <is>
          <t>格子定数 d</t>
        </is>
      </c>
      <c r="C5" s="22">
        <f>10^6/1200</f>
        <v/>
      </c>
      <c r="D5" s="23" t="inlineStr">
        <is>
          <t>nm</t>
        </is>
      </c>
      <c r="E5" s="24" t="inlineStr">
        <is>
          <t>講義 [装置/器具] 2-2: 刻線数 1200 lines/mm → d = 1/1200 mm</t>
        </is>
      </c>
      <c r="F5" s="20" t="n"/>
      <c r="G5" s="20" t="n"/>
      <c r="H5" s="20" t="n"/>
    </row>
    <row r="6">
      <c r="B6" s="21" t="inlineStr">
        <is>
          <t>回折格子–スクリーン間距離 L</t>
        </is>
      </c>
      <c r="C6" s="25" t="n">
        <v>150</v>
      </c>
      <c r="D6" s="23" t="inlineStr">
        <is>
          <t>mm</t>
        </is>
      </c>
      <c r="E6" s="24" t="inlineStr">
        <is>
          <t>手稿 第1週 p.2（L → 150 mm）</t>
        </is>
      </c>
      <c r="F6" s="20" t="n"/>
      <c r="G6" s="20" t="n"/>
      <c r="H6" s="20" t="n"/>
    </row>
    <row r="7">
      <c r="B7" s="21" t="inlineStr">
        <is>
          <t>x0（光軸の位置）</t>
        </is>
      </c>
      <c r="C7" s="25" t="n">
        <v>50</v>
      </c>
      <c r="D7" s="23" t="inlineStr">
        <is>
          <t>mm</t>
        </is>
      </c>
      <c r="E7" s="24" t="inlineStr">
        <is>
          <t>手稿 第1週 p.2（x0 → 50 mm）</t>
        </is>
      </c>
      <c r="F7" s="20" t="n"/>
      <c r="G7" s="20" t="n"/>
      <c r="H7" s="20" t="n"/>
    </row>
    <row r="8">
      <c r="B8" s="21" t="inlineStr">
        <is>
          <t>回折次数 m</t>
        </is>
      </c>
      <c r="C8" s="26" t="n">
        <v>1</v>
      </c>
      <c r="D8" s="23" t="inlineStr">
        <is>
          <t>－</t>
        </is>
      </c>
      <c r="E8" s="24" t="inlineStr">
        <is>
          <t>手稿 第1週 p.1（m = +1 のみ）</t>
        </is>
      </c>
      <c r="F8" s="20" t="n"/>
      <c r="G8" s="20" t="n"/>
      <c r="H8" s="20" t="n"/>
    </row>
    <row r="11" ht="42" customHeight="1" s="4">
      <c r="B11" s="19" t="inlineStr">
        <is>
          <t>ランプ</t>
        </is>
      </c>
      <c r="C11" s="19" t="inlineStr">
        <is>
          <t>輝線の色</t>
        </is>
      </c>
      <c r="D11" s="19" t="inlineStr">
        <is>
          <t>x0 [mm]</t>
        </is>
      </c>
      <c r="E11" s="19" t="inlineStr">
        <is>
          <t>L [mm]</t>
        </is>
      </c>
      <c r="F11" s="19" t="inlineStr">
        <is>
          <t>x1 左 [mm]</t>
        </is>
      </c>
      <c r="G11" s="19" t="inlineStr">
        <is>
          <t>x1 中 [mm]</t>
        </is>
      </c>
      <c r="H11" s="19" t="inlineStr">
        <is>
          <t>x1 右 [mm]</t>
        </is>
      </c>
      <c r="I11" s="19" t="inlineStr">
        <is>
          <t>x = x0+x1 [mm]</t>
        </is>
      </c>
      <c r="J11" s="19" t="inlineStr">
        <is>
          <t>θ [deg]</t>
        </is>
      </c>
      <c r="K11" s="19" t="inlineStr">
        <is>
          <t>λ [nm]</t>
        </is>
      </c>
      <c r="L11" s="19" t="inlineStr">
        <is>
          <t>文献値 [nm]</t>
        </is>
      </c>
      <c r="M11" s="19" t="inlineStr">
        <is>
          <t>λ − 文献値 [nm]</t>
        </is>
      </c>
      <c r="N11" s="19" t="inlineStr">
        <is>
          <t>相対誤差 [%]</t>
        </is>
      </c>
      <c r="O11" s="19" t="inlineStr">
        <is>
          <t>出典・備考</t>
        </is>
      </c>
    </row>
    <row r="12" ht="40" customHeight="1" s="4">
      <c r="B12" s="23" t="inlineStr">
        <is>
          <t>Na</t>
        </is>
      </c>
      <c r="C12" s="23" t="inlineStr">
        <is>
          <t>オレンジ（報告書に使用）</t>
        </is>
      </c>
      <c r="D12" s="22">
        <f>$C$7</f>
        <v/>
      </c>
      <c r="E12" s="22">
        <f>$C$6</f>
        <v/>
      </c>
      <c r="F12" s="25" t="n">
        <v>95</v>
      </c>
      <c r="G12" s="25" t="n">
        <v>97</v>
      </c>
      <c r="H12" s="25" t="n">
        <v>99</v>
      </c>
      <c r="I12" s="22">
        <f>IF(COUNT(D12,E12,G12)=3,D12+G12,"")</f>
        <v/>
      </c>
      <c r="J12" s="27">
        <f>IF(I12="","",DEGREES(ATAN(I12/E12)))</f>
        <v/>
      </c>
      <c r="K12" s="22">
        <f>IF(J12="","",$C$5*SIN(RADIANS(J12))/$C$8)</f>
        <v/>
      </c>
      <c r="L12" s="28">
        <f>AVERAGE(588.995,589.592)</f>
        <v/>
      </c>
      <c r="M12" s="29">
        <f>IF(K12="","",K12-L12)</f>
        <v/>
      </c>
      <c r="N12" s="22">
        <f>IF(K12="","",ABS(M12)/L12*100)</f>
        <v/>
      </c>
      <c r="O12" s="24" t="inlineStr">
        <is>
          <t>手稿 第1週 p.2。報告書にはこの組（95 / 97 / 99）を使う。文献値は D線2本(588.995, 589.592 nm)の平均</t>
        </is>
      </c>
    </row>
    <row r="13" ht="40" customHeight="1" s="4">
      <c r="B13" s="23" t="inlineStr">
        <is>
          <t>Na</t>
        </is>
      </c>
      <c r="C13" s="23" t="inlineStr">
        <is>
          <t>オレンジ（参考・不使用）</t>
        </is>
      </c>
      <c r="D13" s="22">
        <f>$C$7</f>
        <v/>
      </c>
      <c r="E13" s="22">
        <f>$C$6</f>
        <v/>
      </c>
      <c r="F13" s="25" t="n">
        <v>95.2</v>
      </c>
      <c r="G13" s="25" t="n">
        <v>98.09999999999999</v>
      </c>
      <c r="H13" s="25" t="n">
        <v>100.4</v>
      </c>
      <c r="I13" s="22">
        <f>IF(COUNT(D13,E13,G13)=3,D13+G13,"")</f>
        <v/>
      </c>
      <c r="J13" s="27">
        <f>IF(I13="","",DEGREES(ATAN(I13/E13)))</f>
        <v/>
      </c>
      <c r="K13" s="22">
        <f>IF(J13="","",$C$5*SIN(RADIANS(J13))/$C$8)</f>
        <v/>
      </c>
      <c r="L13" s="28">
        <f>AVERAGE(588.995,589.592)</f>
        <v/>
      </c>
      <c r="M13" s="29">
        <f>IF(K13="","",K13-L13)</f>
        <v/>
      </c>
      <c r="N13" s="22">
        <f>IF(K13="","",ABS(M13)/L13*100)</f>
        <v/>
      </c>
      <c r="O13" s="24" t="inlineStr">
        <is>
          <t>手稿 第1週 p.3 の再測定値。参考として残すが報告書には使わない</t>
        </is>
      </c>
    </row>
    <row r="14" ht="40" customHeight="1" s="4">
      <c r="B14" s="23" t="inlineStr">
        <is>
          <t>Hg</t>
        </is>
      </c>
      <c r="C14" s="23" t="inlineStr">
        <is>
          <t>オレンジ</t>
        </is>
      </c>
      <c r="D14" s="22">
        <f>$C$7</f>
        <v/>
      </c>
      <c r="E14" s="22">
        <f>$C$6</f>
        <v/>
      </c>
      <c r="F14" s="25" t="n">
        <v>87.5</v>
      </c>
      <c r="G14" s="25" t="n">
        <v>89</v>
      </c>
      <c r="H14" s="25" t="n">
        <v>90.90000000000001</v>
      </c>
      <c r="I14" s="22">
        <f>IF(COUNT(D14,E14,G14)=3,D14+G14,"")</f>
        <v/>
      </c>
      <c r="J14" s="27">
        <f>IF(I14="","",DEGREES(ATAN(I14/E14)))</f>
        <v/>
      </c>
      <c r="K14" s="22">
        <f>IF(J14="","",$C$5*SIN(RADIANS(J14))/$C$8)</f>
        <v/>
      </c>
      <c r="L14" s="30" t="n">
        <v>579.0650000000001</v>
      </c>
      <c r="M14" s="29">
        <f>IF(K14="","",K14-L14)</f>
        <v/>
      </c>
      <c r="N14" s="22">
        <f>IF(K14="","",ABS(M14)/L14*100)</f>
        <v/>
      </c>
      <c r="O14" s="24" t="inlineStr">
        <is>
          <t>手稿 第1週 p.4。文献値 579.065 nm（講義 付録）</t>
        </is>
      </c>
    </row>
    <row r="15" ht="40" customHeight="1" s="4">
      <c r="B15" s="23" t="inlineStr">
        <is>
          <t>Hg</t>
        </is>
      </c>
      <c r="C15" s="23" t="inlineStr">
        <is>
          <t>緑</t>
        </is>
      </c>
      <c r="D15" s="22">
        <f>$C$7</f>
        <v/>
      </c>
      <c r="E15" s="22">
        <f>$C$6</f>
        <v/>
      </c>
      <c r="F15" s="25" t="n">
        <v>74.2</v>
      </c>
      <c r="G15" s="25" t="n">
        <v>75.5</v>
      </c>
      <c r="H15" s="25" t="n">
        <v>77</v>
      </c>
      <c r="I15" s="22">
        <f>IF(COUNT(D15,E15,G15)=3,D15+G15,"")</f>
        <v/>
      </c>
      <c r="J15" s="27">
        <f>IF(I15="","",DEGREES(ATAN(I15/E15)))</f>
        <v/>
      </c>
      <c r="K15" s="22">
        <f>IF(J15="","",$C$5*SIN(RADIANS(J15))/$C$8)</f>
        <v/>
      </c>
      <c r="L15" s="31" t="n">
        <v>546.074</v>
      </c>
      <c r="M15" s="29">
        <f>IF(K15="","",K15-L15)</f>
        <v/>
      </c>
      <c r="N15" s="22">
        <f>IF(K15="","",ABS(M15)/L15*100)</f>
        <v/>
      </c>
      <c r="O15" s="24" t="inlineStr">
        <is>
          <t>手稿 第1週 p.4。文献値 546.074 nm（講義 付録）</t>
        </is>
      </c>
    </row>
    <row r="16" ht="40" customHeight="1" s="4">
      <c r="B16" s="23" t="inlineStr">
        <is>
          <t>Hg</t>
        </is>
      </c>
      <c r="C16" s="23" t="inlineStr">
        <is>
          <t>青</t>
        </is>
      </c>
      <c r="D16" s="22">
        <f>$C$7</f>
        <v/>
      </c>
      <c r="E16" s="22">
        <f>$C$6</f>
        <v/>
      </c>
      <c r="F16" s="25" t="n">
        <v>37.1</v>
      </c>
      <c r="G16" s="25" t="n">
        <v>38.2</v>
      </c>
      <c r="H16" s="25" t="n">
        <v>39.2</v>
      </c>
      <c r="I16" s="22">
        <f>IF(COUNT(D16,E16,G16)=3,D16+G16,"")</f>
        <v/>
      </c>
      <c r="J16" s="27">
        <f>IF(I16="","",DEGREES(ATAN(I16/E16)))</f>
        <v/>
      </c>
      <c r="K16" s="22">
        <f>IF(J16="","",$C$5*SIN(RADIANS(J16))/$C$8)</f>
        <v/>
      </c>
      <c r="L16" s="31" t="n">
        <v>435.835</v>
      </c>
      <c r="M16" s="29">
        <f>IF(K16="","",K16-L16)</f>
        <v/>
      </c>
      <c r="N16" s="22">
        <f>IF(K16="","",ABS(M16)/L16*100)</f>
        <v/>
      </c>
      <c r="O16" s="24" t="inlineStr">
        <is>
          <t>手稿 第1週 p.4。文献値 435.835 nm（講義 付録）</t>
        </is>
      </c>
    </row>
    <row r="17" ht="40" customHeight="1" s="4">
      <c r="B17" s="23" t="inlineStr">
        <is>
          <t>Cd</t>
        </is>
      </c>
      <c r="C17" s="23" t="inlineStr">
        <is>
          <t>赤</t>
        </is>
      </c>
      <c r="D17" s="22">
        <f>$C$7</f>
        <v/>
      </c>
      <c r="E17" s="22">
        <f>$C$6</f>
        <v/>
      </c>
      <c r="F17" s="25" t="n"/>
      <c r="G17" s="25" t="n">
        <v>12.5</v>
      </c>
      <c r="H17" s="25" t="n"/>
      <c r="I17" s="22">
        <f>IF(COUNT(D17,E17,G17)=3,D17+G17,"")</f>
        <v/>
      </c>
      <c r="J17" s="27">
        <f>IF(I17="","",DEGREES(ATAN(I17/E17)))</f>
        <v/>
      </c>
      <c r="K17" s="22">
        <f>IF(J17="","",$C$5*SIN(RADIANS(J17))/$C$8)</f>
        <v/>
      </c>
      <c r="L17" s="31" t="n">
        <v>643.847</v>
      </c>
      <c r="M17" s="29">
        <f>IF(K17="","",K17-L17)</f>
        <v/>
      </c>
      <c r="N17" s="22">
        <f>IF(K17="","",ABS(M17)/L17*100)</f>
        <v/>
      </c>
      <c r="O17" s="24" t="inlineStr">
        <is>
          <t>手稿 第1週 p.5「真ん中 12.5 mm」。左右は読み取りにくく中心のみ。x0・L は Na と同じとした。計算値は文献値の約半分で外れ値</t>
        </is>
      </c>
    </row>
    <row r="18" ht="40" customHeight="1" s="4">
      <c r="B18" s="23" t="inlineStr">
        <is>
          <t>Cd</t>
        </is>
      </c>
      <c r="C18" s="23" t="inlineStr">
        <is>
          <t>緑</t>
        </is>
      </c>
      <c r="D18" s="22">
        <f>$C$7</f>
        <v/>
      </c>
      <c r="E18" s="22">
        <f>$C$6</f>
        <v/>
      </c>
      <c r="F18" s="25" t="n">
        <v>52</v>
      </c>
      <c r="G18" s="25" t="n">
        <v>54.5</v>
      </c>
      <c r="H18" s="25" t="n">
        <v>57</v>
      </c>
      <c r="I18" s="22">
        <f>IF(COUNT(D18,E18,G18)=3,D18+G18,"")</f>
        <v/>
      </c>
      <c r="J18" s="27">
        <f>IF(I18="","",DEGREES(ATAN(I18/E18)))</f>
        <v/>
      </c>
      <c r="K18" s="22">
        <f>IF(J18="","",$C$5*SIN(RADIANS(J18))/$C$8)</f>
        <v/>
      </c>
      <c r="L18" s="31" t="n">
        <v>508.582</v>
      </c>
      <c r="M18" s="29">
        <f>IF(K18="","",K18-L18)</f>
        <v/>
      </c>
      <c r="N18" s="22">
        <f>IF(K18="","",ABS(M18)/L18*100)</f>
        <v/>
      </c>
      <c r="O18" s="24" t="inlineStr">
        <is>
          <t>手稿 第1週 p.5。x0・L は Na と同じとした</t>
        </is>
      </c>
    </row>
    <row r="19" ht="40" customHeight="1" s="4">
      <c r="B19" s="23" t="inlineStr">
        <is>
          <t>Cd</t>
        </is>
      </c>
      <c r="C19" s="23" t="inlineStr">
        <is>
          <t>水色</t>
        </is>
      </c>
      <c r="D19" s="22">
        <f>$C$7</f>
        <v/>
      </c>
      <c r="E19" s="22">
        <f>$C$6</f>
        <v/>
      </c>
      <c r="F19" s="25" t="n">
        <v>35.5</v>
      </c>
      <c r="G19" s="25" t="n">
        <v>37</v>
      </c>
      <c r="H19" s="25" t="n">
        <v>40.5</v>
      </c>
      <c r="I19" s="22">
        <f>IF(COUNT(D19,E19,G19)=3,D19+G19,"")</f>
        <v/>
      </c>
      <c r="J19" s="27">
        <f>IF(I19="","",DEGREES(ATAN(I19/E19)))</f>
        <v/>
      </c>
      <c r="K19" s="22">
        <f>IF(J19="","",$C$5*SIN(RADIANS(J19))/$C$8)</f>
        <v/>
      </c>
      <c r="L19" s="31" t="n">
        <v>479.992</v>
      </c>
      <c r="M19" s="29">
        <f>IF(K19="","",K19-L19)</f>
        <v/>
      </c>
      <c r="N19" s="22">
        <f>IF(K19="","",ABS(M19)/L19*100)</f>
        <v/>
      </c>
      <c r="O19" s="24" t="inlineStr">
        <is>
          <t>手稿 第1週 p.5。x0・L は Na と同じとした</t>
        </is>
      </c>
    </row>
    <row r="20" ht="40" customHeight="1" s="4">
      <c r="B20" s="23" t="inlineStr">
        <is>
          <t>Cd</t>
        </is>
      </c>
      <c r="C20" s="23" t="inlineStr">
        <is>
          <t>青</t>
        </is>
      </c>
      <c r="D20" s="22">
        <f>$C$7</f>
        <v/>
      </c>
      <c r="E20" s="22">
        <f>$C$6</f>
        <v/>
      </c>
      <c r="F20" s="25" t="n">
        <v>35.6</v>
      </c>
      <c r="G20" s="25" t="n"/>
      <c r="H20" s="25" t="n"/>
      <c r="I20" s="22">
        <f>IF(COUNT(D20,E20,F20)=3,D20+F20,"")</f>
        <v/>
      </c>
      <c r="J20" s="27">
        <f>IF(I20="","",DEGREES(ATAN(I20/E20)))</f>
        <v/>
      </c>
      <c r="K20" s="22">
        <f>IF(J20="","",$C$5*SIN(RADIANS(J20))/$C$8)</f>
        <v/>
      </c>
      <c r="L20" s="30" t="n">
        <v>467.815</v>
      </c>
      <c r="M20" s="29">
        <f>IF(K20="","",K20-L20)</f>
        <v/>
      </c>
      <c r="N20" s="22">
        <f>IF(K20="","",ABS(M20)/L20*100)</f>
        <v/>
      </c>
      <c r="O20" s="24" t="inlineStr">
        <is>
          <t>手稿 第1週 p.5「青 左 35.6」のみ。光が細く中・右は読み取れなかった。λ は左端の値で計算。第2週の結果より，この輝線は 466.235 と 467.815 nm の未分解の重なりと分かった</t>
        </is>
      </c>
    </row>
  </sheetData>
  <mergeCells count="5">
    <mergeCell ref="E8:H8"/>
    <mergeCell ref="E4:H4"/>
    <mergeCell ref="E6:H6"/>
    <mergeCell ref="E7:H7"/>
    <mergeCell ref="E5:H5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N32"/>
  <sheetViews>
    <sheetView showGridLines="0" workbookViewId="0">
      <selection activeCell="A1" sqref="A1"/>
    </sheetView>
  </sheetViews>
  <sheetFormatPr baseColWidth="8" defaultRowHeight="15"/>
  <cols>
    <col width="2" customWidth="1" style="4" min="1" max="1"/>
    <col width="10" customWidth="1" style="4" min="2" max="2"/>
    <col width="10" customWidth="1" style="4" min="3" max="3"/>
    <col width="8" customWidth="1" style="4" min="4" max="4"/>
    <col width="9" customWidth="1" style="4" min="5" max="5"/>
    <col width="9" customWidth="1" style="4" min="6" max="6"/>
    <col width="8" customWidth="1" style="4" min="7" max="7"/>
    <col width="9" customWidth="1" style="4" min="8" max="8"/>
    <col width="9" customWidth="1" style="4" min="9" max="9"/>
    <col width="8" customWidth="1" style="4" min="10" max="10"/>
    <col width="9" customWidth="1" style="4" min="11" max="11"/>
    <col width="9" customWidth="1" style="4" min="12" max="12"/>
    <col width="11" customWidth="1" style="4" min="13" max="13"/>
    <col width="52" customWidth="1" style="4" min="14" max="14"/>
  </cols>
  <sheetData>
    <row r="1">
      <c r="B1" s="5" t="inlineStr">
        <is>
          <t>実験2　最小偏角 δ0 とプリズム（ガラス）の屈折率</t>
        </is>
      </c>
    </row>
    <row r="2">
      <c r="B2" s="18" t="inlineStr">
        <is>
          <t>式: tanδ0 = L / x ，　n = sin{(δ0 + α)/2} / sin(α/2)（講義 式(4)）。青字＝手稿から転記，黒字＝公式。</t>
        </is>
      </c>
    </row>
    <row r="4">
      <c r="B4" s="21" t="inlineStr">
        <is>
          <t>頂角 α</t>
        </is>
      </c>
      <c r="C4" s="26" t="n">
        <v>60</v>
      </c>
      <c r="D4" s="23" t="inlineStr">
        <is>
          <t>deg</t>
        </is>
      </c>
      <c r="E4" s="24" t="inlineStr">
        <is>
          <t>講義 [装置/器具] 2-1: プリズムは正三角形，頂角 α = 60°</t>
        </is>
      </c>
      <c r="F4" s="20" t="n"/>
      <c r="G4" s="20" t="n"/>
      <c r="H4" s="20" t="n"/>
      <c r="I4" s="20" t="n"/>
      <c r="J4" s="20" t="n"/>
    </row>
    <row r="6" ht="28" customHeight="1" s="4">
      <c r="B6" s="19" t="inlineStr">
        <is>
          <t>色</t>
        </is>
      </c>
      <c r="C6" s="19" t="inlineStr">
        <is>
          <t>波長 λ
[nm]</t>
        </is>
      </c>
      <c r="D6" s="32" t="n">
        <v>150</v>
      </c>
      <c r="E6" s="20" t="n"/>
      <c r="F6" s="20" t="n"/>
      <c r="G6" s="32" t="n">
        <v>175</v>
      </c>
      <c r="H6" s="20" t="n"/>
      <c r="I6" s="20" t="n"/>
      <c r="J6" s="32" t="n">
        <v>200</v>
      </c>
      <c r="K6" s="20" t="n"/>
      <c r="L6" s="20" t="n"/>
      <c r="M6" s="19" t="inlineStr">
        <is>
          <t>n 平均
（3回）</t>
        </is>
      </c>
      <c r="N6" s="19" t="inlineStr">
        <is>
          <t>出典・備考</t>
        </is>
      </c>
    </row>
    <row r="7" ht="20" customHeight="1" s="4">
      <c r="B7" s="20" t="n"/>
      <c r="C7" s="20" t="n"/>
      <c r="D7" s="19" t="inlineStr">
        <is>
          <t>x [mm]</t>
        </is>
      </c>
      <c r="E7" s="19" t="inlineStr">
        <is>
          <t>δ0 [deg]</t>
        </is>
      </c>
      <c r="F7" s="19" t="inlineStr">
        <is>
          <t>n</t>
        </is>
      </c>
      <c r="G7" s="19" t="inlineStr">
        <is>
          <t>x [mm]</t>
        </is>
      </c>
      <c r="H7" s="19" t="inlineStr">
        <is>
          <t>δ0 [deg]</t>
        </is>
      </c>
      <c r="I7" s="19" t="inlineStr">
        <is>
          <t>n</t>
        </is>
      </c>
      <c r="J7" s="19" t="inlineStr">
        <is>
          <t>x [mm]</t>
        </is>
      </c>
      <c r="K7" s="19" t="inlineStr">
        <is>
          <t>δ0 [deg]</t>
        </is>
      </c>
      <c r="L7" s="19" t="inlineStr">
        <is>
          <t>n</t>
        </is>
      </c>
      <c r="M7" s="20" t="n"/>
      <c r="N7" s="20" t="n"/>
    </row>
    <row r="8" ht="24" customHeight="1" s="4">
      <c r="B8" s="23" t="inlineStr">
        <is>
          <t>赤</t>
        </is>
      </c>
      <c r="C8" s="25" t="n">
        <v>643.847</v>
      </c>
      <c r="D8" s="26" t="n">
        <v>136</v>
      </c>
      <c r="E8" s="27">
        <f>DEGREES(ATAN(D$6/D8))</f>
        <v/>
      </c>
      <c r="F8" s="33">
        <f>SIN(RADIANS((E8+$C$4)/2))/SIN(RADIANS($C$4/2))</f>
        <v/>
      </c>
      <c r="G8" s="26" t="n">
        <v>155</v>
      </c>
      <c r="H8" s="27">
        <f>DEGREES(ATAN(G$6/G8))</f>
        <v/>
      </c>
      <c r="I8" s="33">
        <f>SIN(RADIANS((H8+$C$4)/2))/SIN(RADIANS($C$4/2))</f>
        <v/>
      </c>
      <c r="J8" s="26" t="n">
        <v>188</v>
      </c>
      <c r="K8" s="27">
        <f>DEGREES(ATAN(J$6/J8))</f>
        <v/>
      </c>
      <c r="L8" s="33">
        <f>SIN(RADIANS((K8+$C$4)/2))/SIN(RADIANS($C$4/2))</f>
        <v/>
      </c>
      <c r="M8" s="33">
        <f>AVERAGE(F8,I8,L8)</f>
        <v/>
      </c>
      <c r="N8" s="24" t="inlineStr">
        <is>
          <t>Cd 赤 643.847 nm（講義 付録）。x は手稿 第1週 p.6</t>
        </is>
      </c>
    </row>
    <row r="9" ht="24" customHeight="1" s="4">
      <c r="B9" s="23" t="inlineStr">
        <is>
          <t>緑</t>
        </is>
      </c>
      <c r="C9" s="25" t="n">
        <v>508.582</v>
      </c>
      <c r="D9" s="26" t="n">
        <v>128</v>
      </c>
      <c r="E9" s="27">
        <f>DEGREES(ATAN(D$6/D9))</f>
        <v/>
      </c>
      <c r="F9" s="33">
        <f>SIN(RADIANS((E9+$C$4)/2))/SIN(RADIANS($C$4/2))</f>
        <v/>
      </c>
      <c r="G9" s="26" t="n">
        <v>151</v>
      </c>
      <c r="H9" s="27">
        <f>DEGREES(ATAN(G$6/G9))</f>
        <v/>
      </c>
      <c r="I9" s="33">
        <f>SIN(RADIANS((H9+$C$4)/2))/SIN(RADIANS($C$4/2))</f>
        <v/>
      </c>
      <c r="J9" s="26" t="n">
        <v>181</v>
      </c>
      <c r="K9" s="27">
        <f>DEGREES(ATAN(J$6/J9))</f>
        <v/>
      </c>
      <c r="L9" s="33">
        <f>SIN(RADIANS((K9+$C$4)/2))/SIN(RADIANS($C$4/2))</f>
        <v/>
      </c>
      <c r="M9" s="33">
        <f>AVERAGE(F9,I9,L9)</f>
        <v/>
      </c>
      <c r="N9" s="24" t="inlineStr">
        <is>
          <t>Cd 緑 508.582 nm。x は手稿 第1週 p.6</t>
        </is>
      </c>
    </row>
    <row r="10" ht="24" customHeight="1" s="4">
      <c r="B10" s="23" t="inlineStr">
        <is>
          <t>水色</t>
        </is>
      </c>
      <c r="C10" s="25" t="n">
        <v>479.992</v>
      </c>
      <c r="D10" s="26" t="n">
        <v>127</v>
      </c>
      <c r="E10" s="27">
        <f>DEGREES(ATAN(D$6/D10))</f>
        <v/>
      </c>
      <c r="F10" s="33">
        <f>SIN(RADIANS((E10+$C$4)/2))/SIN(RADIANS($C$4/2))</f>
        <v/>
      </c>
      <c r="G10" s="26" t="n">
        <v>149</v>
      </c>
      <c r="H10" s="27">
        <f>DEGREES(ATAN(G$6/G10))</f>
        <v/>
      </c>
      <c r="I10" s="33">
        <f>SIN(RADIANS((H10+$C$4)/2))/SIN(RADIANS($C$4/2))</f>
        <v/>
      </c>
      <c r="J10" s="26" t="n">
        <v>176</v>
      </c>
      <c r="K10" s="27">
        <f>DEGREES(ATAN(J$6/J10))</f>
        <v/>
      </c>
      <c r="L10" s="33">
        <f>SIN(RADIANS((K10+$C$4)/2))/SIN(RADIANS($C$4/2))</f>
        <v/>
      </c>
      <c r="M10" s="33">
        <f>AVERAGE(F10,I10,L10)</f>
        <v/>
      </c>
      <c r="N10" s="24" t="inlineStr">
        <is>
          <t>Cd 水色 479.992 nm。x は手稿 第1週 p.6</t>
        </is>
      </c>
    </row>
    <row r="11" ht="24" customHeight="1" s="4">
      <c r="B11" s="23" t="inlineStr">
        <is>
          <t>青</t>
        </is>
      </c>
      <c r="C11" s="25" t="n">
        <v>467.815</v>
      </c>
      <c r="D11" s="26" t="n">
        <v>118</v>
      </c>
      <c r="E11" s="27">
        <f>DEGREES(ATAN(D$6/D11))</f>
        <v/>
      </c>
      <c r="F11" s="33">
        <f>SIN(RADIANS((E11+$C$4)/2))/SIN(RADIANS($C$4/2))</f>
        <v/>
      </c>
      <c r="G11" s="26" t="n">
        <v>143</v>
      </c>
      <c r="H11" s="27">
        <f>DEGREES(ATAN(G$6/G11))</f>
        <v/>
      </c>
      <c r="I11" s="33">
        <f>SIN(RADIANS((H11+$C$4)/2))/SIN(RADIANS($C$4/2))</f>
        <v/>
      </c>
      <c r="J11" s="26" t="n">
        <v>170</v>
      </c>
      <c r="K11" s="27">
        <f>DEGREES(ATAN(J$6/J11))</f>
        <v/>
      </c>
      <c r="L11" s="33">
        <f>SIN(RADIANS((K11+$C$4)/2))/SIN(RADIANS($C$4/2))</f>
        <v/>
      </c>
      <c r="M11" s="33">
        <f>AVERAGE(F11,I11,L11)</f>
        <v/>
      </c>
      <c r="N11" s="24" t="inlineStr">
        <is>
          <t>Cd 青 467.815 nm（466.235 nm との未分解の重なり）。x は手稿 第1週 p.6</t>
        </is>
      </c>
    </row>
    <row r="32">
      <c r="B32" s="18" t="inlineStr">
        <is>
          <t>※ 図名は図の下に付ける。横軸 440–680 nm，縦軸 1.60–1.68 に固定。</t>
        </is>
      </c>
    </row>
  </sheetData>
  <mergeCells count="8">
    <mergeCell ref="J6:L6"/>
    <mergeCell ref="G6:I6"/>
    <mergeCell ref="D6:F6"/>
    <mergeCell ref="M6:M7"/>
    <mergeCell ref="N6:N7"/>
    <mergeCell ref="C6:C7"/>
    <mergeCell ref="E4:J4"/>
    <mergeCell ref="B6:B7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J163"/>
  <sheetViews>
    <sheetView showGridLines="0" workbookViewId="0">
      <selection activeCell="A1" sqref="A1"/>
    </sheetView>
  </sheetViews>
  <sheetFormatPr baseColWidth="8" defaultRowHeight="15"/>
  <cols>
    <col width="2" customWidth="1" style="4" min="1" max="1"/>
    <col width="16" customWidth="1" style="4" min="2" max="2"/>
    <col width="12" customWidth="1" style="4" min="3" max="3"/>
    <col width="12" customWidth="1" style="4" min="4" max="4"/>
    <col width="13" customWidth="1" style="4" min="5" max="5"/>
    <col width="12" customWidth="1" style="4" min="6" max="6"/>
    <col width="62" customWidth="1" style="4" min="7" max="7"/>
    <col width="3" customWidth="1" style="4" min="8" max="8"/>
    <col width="12" customWidth="1" style="4" min="9" max="9"/>
    <col width="12" customWidth="1" style="4" min="10" max="10"/>
  </cols>
  <sheetData>
    <row r="1">
      <c r="B1" s="5" t="inlineStr">
        <is>
          <t>実験3-2　Cd ランプのスペクトル測定と波長校正</t>
        </is>
      </c>
    </row>
    <row r="2">
      <c r="B2" s="18" t="inlineStr">
        <is>
          <t>x はマイクロメータ読み（1 目盛 = 0.01 mm，1 回転 = 0.5 mm）。回転ステージ角は θr = k x + α と書けるので，式(10) に代入すると λ = A x² + B x + C（講義 式(10)＋授業の板書）。青字＝手稿から転記，黒字＝Excel公式，緑＝ピーク，黄色＝要確認。</t>
        </is>
      </c>
    </row>
    <row r="3">
      <c r="B3" s="18" t="inlineStr">
        <is>
          <t>入射スリット幅 0.1 mm（手稿 第2週 p.4 見出し「幅 0.1mm」）。λ が x とともに減少することに注意。</t>
        </is>
      </c>
    </row>
    <row r="5" ht="20" customHeight="1" s="4">
      <c r="B5" s="19" t="inlineStr">
        <is>
          <t>輝線の色</t>
        </is>
      </c>
      <c r="C5" s="19" t="inlineStr">
        <is>
          <t>x ピーク</t>
        </is>
      </c>
      <c r="D5" s="19" t="inlineStr">
        <is>
          <t>I ピーク [V]</t>
        </is>
      </c>
      <c r="E5" s="19" t="inlineStr">
        <is>
          <t>文献波長 [nm]</t>
        </is>
      </c>
      <c r="F5" s="19" t="inlineStr">
        <is>
          <t>校正に使用</t>
        </is>
      </c>
      <c r="G5" s="19" t="inlineStr">
        <is>
          <t>備考</t>
        </is>
      </c>
    </row>
    <row r="6" ht="34" customHeight="1" s="4">
      <c r="B6" s="23" t="inlineStr">
        <is>
          <t>赤</t>
        </is>
      </c>
      <c r="C6" s="34">
        <f>AVERAGE(278,279)</f>
        <v/>
      </c>
      <c r="D6" s="35" t="n">
        <v>0.007</v>
      </c>
      <c r="E6" s="31" t="n">
        <v>643.847</v>
      </c>
      <c r="F6" s="23" t="inlineStr">
        <is>
          <t>○</t>
        </is>
      </c>
      <c r="G6" s="24" t="inlineStr">
        <is>
          <t>x=278,279 が同値（0.0070）のため中点を採用</t>
        </is>
      </c>
    </row>
    <row r="7" ht="34" customHeight="1" s="4">
      <c r="B7" s="23" t="inlineStr">
        <is>
          <t>緑</t>
        </is>
      </c>
      <c r="C7" s="34" t="n">
        <v>634</v>
      </c>
      <c r="D7" s="35" t="n">
        <v>0.0089</v>
      </c>
      <c r="E7" s="31" t="n">
        <v>508.582</v>
      </c>
      <c r="F7" s="23" t="inlineStr">
        <is>
          <t>○</t>
        </is>
      </c>
      <c r="G7" s="24" t="inlineStr">
        <is>
          <t>スリットで緑色を目視確認（手稿の「←緑」の書き込み）。4本中で最も強い → 実験3-3 に使用</t>
        </is>
      </c>
    </row>
    <row r="8" ht="34" customHeight="1" s="4">
      <c r="B8" s="23" t="inlineStr">
        <is>
          <t>水色</t>
        </is>
      </c>
      <c r="C8" s="34" t="n">
        <v>705</v>
      </c>
      <c r="D8" s="35" t="n">
        <v>0.0075</v>
      </c>
      <c r="E8" s="31" t="n">
        <v>479.992</v>
      </c>
      <c r="F8" s="23" t="inlineStr">
        <is>
          <t>○</t>
        </is>
      </c>
      <c r="G8" s="24" t="inlineStr"/>
    </row>
    <row r="9" ht="34" customHeight="1" s="4">
      <c r="B9" s="23" t="inlineStr">
        <is>
          <t>青</t>
        </is>
      </c>
      <c r="C9" s="34" t="n">
        <v>738</v>
      </c>
      <c r="D9" s="35" t="n">
        <v>0.0059</v>
      </c>
      <c r="E9" s="31" t="n">
        <v>467.815</v>
      </c>
      <c r="F9" s="23" t="inlineStr">
        <is>
          <t>×</t>
        </is>
      </c>
      <c r="G9" s="24" t="inlineStr">
        <is>
          <t>466.235 nm と 467.815 nm（間隔 1.58 nm）の未分解の重なり。分解能 4.4 nm より狭いため分離できない。校正には使わず検証のみ</t>
        </is>
      </c>
    </row>
    <row r="11">
      <c r="B11" s="36" t="inlineStr">
        <is>
          <t>校正曲線　λ = A x² + B x + C</t>
        </is>
      </c>
    </row>
    <row r="12">
      <c r="B12" s="21" t="inlineStr">
        <is>
          <t>A [nm/目盛²]</t>
        </is>
      </c>
      <c r="C12" s="37">
        <f>INDEX(LINEST($E$6:$E$8,$C$6:$C$8^{1,2}),1,1)</f>
        <v/>
      </c>
      <c r="D12" s="18" t="inlineStr">
        <is>
          <t>LINEST による最小二乗フィット（赤・緑・水色の3点，未知数3個なので厳密に一致）。</t>
        </is>
      </c>
    </row>
    <row r="13">
      <c r="B13" s="21" t="inlineStr">
        <is>
          <t>B [nm/目盛]</t>
        </is>
      </c>
      <c r="C13" s="38">
        <f>INDEX(LINEST($E$6:$E$8,$C$6:$C$8^{1,2}),1,2)</f>
        <v/>
      </c>
    </row>
    <row r="14">
      <c r="B14" s="21" t="inlineStr">
        <is>
          <t>C [nm]</t>
        </is>
      </c>
      <c r="C14" s="28">
        <f>INDEX(LINEST($E$6:$E$8,$C$6:$C$8^{1,2}),1,3)</f>
        <v/>
      </c>
    </row>
    <row r="15">
      <c r="B15" s="39" t="inlineStr">
        <is>
          <t>検証</t>
        </is>
      </c>
    </row>
    <row r="16">
      <c r="B16" s="21" t="inlineStr">
        <is>
          <t>x = 738 の λ</t>
        </is>
      </c>
      <c r="C16" s="22">
        <f>$C$12*738^2+$C$13*738+$C$14</f>
        <v/>
      </c>
      <c r="D16" s="23" t="inlineStr">
        <is>
          <t>nm</t>
        </is>
      </c>
      <c r="E16" s="18" t="inlineStr">
        <is>
          <t>実測の弱いピーク。467.815 と 466.235 nm の中間に出る → 未分解の重なりの証拠</t>
        </is>
      </c>
    </row>
    <row r="17">
      <c r="B17" s="21" t="inlineStr">
        <is>
          <t>λ = 467.815 nm の x</t>
        </is>
      </c>
      <c r="C17" s="22">
        <f>(-$C$13-SQRT($C$13^2-4*$C$12*($C$14-467.815)))/(2*$C$12)</f>
        <v/>
      </c>
      <c r="D17" s="23" t="inlineStr">
        <is>
          <t>目盛</t>
        </is>
      </c>
    </row>
    <row r="18">
      <c r="B18" s="21" t="inlineStr">
        <is>
          <t>λ = 466.235 nm の x</t>
        </is>
      </c>
      <c r="C18" s="22">
        <f>(-$C$13-SQRT($C$13^2-4*$C$12*($C$14-466.235)))/(2*$C$12)</f>
        <v/>
      </c>
      <c r="D18" s="23" t="inlineStr">
        <is>
          <t>目盛</t>
        </is>
      </c>
    </row>
    <row r="19">
      <c r="I19" s="36" t="inlineStr">
        <is>
          <t>校正曲線描画用</t>
        </is>
      </c>
    </row>
    <row r="21" ht="18" customHeight="1" s="4">
      <c r="B21" s="19" t="inlineStr">
        <is>
          <t>x [目盛]</t>
        </is>
      </c>
      <c r="C21" s="19" t="inlineStr">
        <is>
          <t>I [V]</t>
        </is>
      </c>
      <c r="D21" s="19" t="inlineStr">
        <is>
          <t>λ [nm]</t>
        </is>
      </c>
      <c r="E21" s="19" t="inlineStr">
        <is>
          <t>掃引</t>
        </is>
      </c>
      <c r="I21" s="19" t="inlineStr">
        <is>
          <t>x [目盛]</t>
        </is>
      </c>
      <c r="J21" s="19" t="inlineStr">
        <is>
          <t>λ_fit [nm]</t>
        </is>
      </c>
    </row>
    <row r="22">
      <c r="B22" s="26" t="n">
        <v>250</v>
      </c>
      <c r="C22" s="40" t="n">
        <v>0.0048</v>
      </c>
      <c r="D22" s="22">
        <f>$C$12*B22^2+$C$13*B22+$C$14</f>
        <v/>
      </c>
      <c r="E22" s="41" t="inlineStr">
        <is>
          <t>1回目（赤線のみ）</t>
        </is>
      </c>
      <c r="I22" s="42" t="n">
        <v>200</v>
      </c>
      <c r="J22" s="22">
        <f>$C$12*I22^2+$C$13*I22+$C$14</f>
        <v/>
      </c>
    </row>
    <row r="23">
      <c r="B23" s="26" t="n">
        <v>255</v>
      </c>
      <c r="C23" s="40" t="n">
        <v>0.005</v>
      </c>
      <c r="D23" s="22">
        <f>$C$12*B23^2+$C$13*B23+$C$14</f>
        <v/>
      </c>
      <c r="E23" s="41" t="inlineStr">
        <is>
          <t>1回目（赤線のみ）</t>
        </is>
      </c>
      <c r="I23" s="42" t="n">
        <v>220</v>
      </c>
      <c r="J23" s="22">
        <f>$C$12*I23^2+$C$13*I23+$C$14</f>
        <v/>
      </c>
    </row>
    <row r="24">
      <c r="B24" s="26" t="n">
        <v>260</v>
      </c>
      <c r="C24" s="40" t="n">
        <v>0.0051</v>
      </c>
      <c r="D24" s="22">
        <f>$C$12*B24^2+$C$13*B24+$C$14</f>
        <v/>
      </c>
      <c r="E24" s="41" t="inlineStr">
        <is>
          <t>1回目（赤線のみ）</t>
        </is>
      </c>
      <c r="I24" s="42" t="n">
        <v>240</v>
      </c>
      <c r="J24" s="22">
        <f>$C$12*I24^2+$C$13*I24+$C$14</f>
        <v/>
      </c>
    </row>
    <row r="25">
      <c r="B25" s="26" t="n">
        <v>265</v>
      </c>
      <c r="C25" s="40" t="n">
        <v>0.0051</v>
      </c>
      <c r="D25" s="22">
        <f>$C$12*B25^2+$C$13*B25+$C$14</f>
        <v/>
      </c>
      <c r="E25" s="41" t="inlineStr">
        <is>
          <t>1回目（赤線のみ）</t>
        </is>
      </c>
      <c r="I25" s="42" t="n">
        <v>260</v>
      </c>
      <c r="J25" s="22">
        <f>$C$12*I25^2+$C$13*I25+$C$14</f>
        <v/>
      </c>
    </row>
    <row r="26">
      <c r="B26" s="26" t="n">
        <v>270</v>
      </c>
      <c r="C26" s="40" t="n">
        <v>0.0053</v>
      </c>
      <c r="D26" s="22">
        <f>$C$12*B26^2+$C$13*B26+$C$14</f>
        <v/>
      </c>
      <c r="E26" s="41" t="inlineStr">
        <is>
          <t>1回目（赤線のみ）</t>
        </is>
      </c>
      <c r="I26" s="42" t="n">
        <v>280</v>
      </c>
      <c r="J26" s="22">
        <f>$C$12*I26^2+$C$13*I26+$C$14</f>
        <v/>
      </c>
    </row>
    <row r="27">
      <c r="B27" s="26" t="n">
        <v>275</v>
      </c>
      <c r="C27" s="40" t="n">
        <v>0.0059</v>
      </c>
      <c r="D27" s="22">
        <f>$C$12*B27^2+$C$13*B27+$C$14</f>
        <v/>
      </c>
      <c r="E27" s="41" t="inlineStr">
        <is>
          <t>1回目（赤線のみ）</t>
        </is>
      </c>
      <c r="I27" s="42" t="n">
        <v>300</v>
      </c>
      <c r="J27" s="22">
        <f>$C$12*I27^2+$C$13*I27+$C$14</f>
        <v/>
      </c>
    </row>
    <row r="28">
      <c r="B28" s="26" t="n">
        <v>280</v>
      </c>
      <c r="C28" s="40" t="n">
        <v>0.0065</v>
      </c>
      <c r="D28" s="22">
        <f>$C$12*B28^2+$C$13*B28+$C$14</f>
        <v/>
      </c>
      <c r="E28" s="41" t="inlineStr">
        <is>
          <t>1回目（赤線のみ）</t>
        </is>
      </c>
      <c r="I28" s="42" t="n">
        <v>320</v>
      </c>
      <c r="J28" s="22">
        <f>$C$12*I28^2+$C$13*I28+$C$14</f>
        <v/>
      </c>
    </row>
    <row r="29">
      <c r="B29" s="26" t="n">
        <v>282</v>
      </c>
      <c r="C29" s="40" t="n">
        <v>0.0063</v>
      </c>
      <c r="D29" s="22">
        <f>$C$12*B29^2+$C$13*B29+$C$14</f>
        <v/>
      </c>
      <c r="E29" s="41" t="inlineStr">
        <is>
          <t>1回目（赤線のみ）</t>
        </is>
      </c>
      <c r="I29" s="42" t="n">
        <v>340</v>
      </c>
      <c r="J29" s="22">
        <f>$C$12*I29^2+$C$13*I29+$C$14</f>
        <v/>
      </c>
    </row>
    <row r="30">
      <c r="B30" s="26" t="n">
        <v>284</v>
      </c>
      <c r="C30" s="40" t="n">
        <v>0.0059</v>
      </c>
      <c r="D30" s="22">
        <f>$C$12*B30^2+$C$13*B30+$C$14</f>
        <v/>
      </c>
      <c r="E30" s="41" t="inlineStr">
        <is>
          <t>1回目（赤線のみ）</t>
        </is>
      </c>
      <c r="I30" s="42" t="n">
        <v>360</v>
      </c>
      <c r="J30" s="22">
        <f>$C$12*I30^2+$C$13*I30+$C$14</f>
        <v/>
      </c>
    </row>
    <row r="31">
      <c r="B31" s="26" t="n">
        <v>286</v>
      </c>
      <c r="C31" s="40" t="n">
        <v>0.0058</v>
      </c>
      <c r="D31" s="22">
        <f>$C$12*B31^2+$C$13*B31+$C$14</f>
        <v/>
      </c>
      <c r="E31" s="41" t="inlineStr">
        <is>
          <t>1回目（赤線のみ）</t>
        </is>
      </c>
      <c r="I31" s="42" t="n">
        <v>380</v>
      </c>
      <c r="J31" s="22">
        <f>$C$12*I31^2+$C$13*I31+$C$14</f>
        <v/>
      </c>
    </row>
    <row r="32">
      <c r="B32" s="26" t="n">
        <v>288</v>
      </c>
      <c r="C32" s="40" t="n">
        <v>0.0056</v>
      </c>
      <c r="D32" s="22">
        <f>$C$12*B32^2+$C$13*B32+$C$14</f>
        <v/>
      </c>
      <c r="E32" s="41" t="inlineStr">
        <is>
          <t>1回目（赤線のみ）</t>
        </is>
      </c>
      <c r="I32" s="42" t="n">
        <v>400</v>
      </c>
      <c r="J32" s="22">
        <f>$C$12*I32^2+$C$13*I32+$C$14</f>
        <v/>
      </c>
    </row>
    <row r="33">
      <c r="B33" s="26" t="n">
        <v>290</v>
      </c>
      <c r="C33" s="40" t="n">
        <v>0.0055</v>
      </c>
      <c r="D33" s="22">
        <f>$C$12*B33^2+$C$13*B33+$C$14</f>
        <v/>
      </c>
      <c r="E33" s="41" t="inlineStr">
        <is>
          <t>1回目（赤線のみ）</t>
        </is>
      </c>
      <c r="I33" s="42" t="n">
        <v>420</v>
      </c>
      <c r="J33" s="22">
        <f>$C$12*I33^2+$C$13*I33+$C$14</f>
        <v/>
      </c>
    </row>
    <row r="34">
      <c r="B34" s="26" t="n">
        <v>292</v>
      </c>
      <c r="C34" s="40" t="n">
        <v>0.0054</v>
      </c>
      <c r="D34" s="22">
        <f>$C$12*B34^2+$C$13*B34+$C$14</f>
        <v/>
      </c>
      <c r="E34" s="41" t="inlineStr">
        <is>
          <t>1回目（赤線のみ）</t>
        </is>
      </c>
      <c r="I34" s="42" t="n">
        <v>440</v>
      </c>
      <c r="J34" s="22">
        <f>$C$12*I34^2+$C$13*I34+$C$14</f>
        <v/>
      </c>
    </row>
    <row r="35">
      <c r="B35" s="26" t="n">
        <v>294</v>
      </c>
      <c r="C35" s="40" t="n">
        <v>0.0052</v>
      </c>
      <c r="D35" s="22">
        <f>$C$12*B35^2+$C$13*B35+$C$14</f>
        <v/>
      </c>
      <c r="E35" s="41" t="inlineStr">
        <is>
          <t>1回目（赤線のみ）</t>
        </is>
      </c>
      <c r="I35" s="42" t="n">
        <v>460</v>
      </c>
      <c r="J35" s="22">
        <f>$C$12*I35^2+$C$13*I35+$C$14</f>
        <v/>
      </c>
    </row>
    <row r="36">
      <c r="B36" s="26" t="n">
        <v>296</v>
      </c>
      <c r="C36" s="40" t="n">
        <v>0.005</v>
      </c>
      <c r="D36" s="22">
        <f>$C$12*B36^2+$C$13*B36+$C$14</f>
        <v/>
      </c>
      <c r="E36" s="41" t="inlineStr">
        <is>
          <t>1回目（赤線のみ）</t>
        </is>
      </c>
      <c r="I36" s="42" t="n">
        <v>480</v>
      </c>
      <c r="J36" s="22">
        <f>$C$12*I36^2+$C$13*I36+$C$14</f>
        <v/>
      </c>
    </row>
    <row r="37">
      <c r="B37" s="26" t="n">
        <v>220</v>
      </c>
      <c r="C37" s="40" t="n">
        <v>0.0051</v>
      </c>
      <c r="D37" s="22">
        <f>$C$12*B37^2+$C$13*B37+$C$14</f>
        <v/>
      </c>
      <c r="E37" s="41" t="inlineStr">
        <is>
          <t>2回目（本掃引）</t>
        </is>
      </c>
      <c r="I37" s="42" t="n">
        <v>500</v>
      </c>
      <c r="J37" s="22">
        <f>$C$12*I37^2+$C$13*I37+$C$14</f>
        <v/>
      </c>
    </row>
    <row r="38">
      <c r="B38" s="26" t="n">
        <v>225</v>
      </c>
      <c r="C38" s="40" t="n">
        <v>0.0053</v>
      </c>
      <c r="D38" s="22">
        <f>$C$12*B38^2+$C$13*B38+$C$14</f>
        <v/>
      </c>
      <c r="E38" s="41" t="inlineStr">
        <is>
          <t>2回目（本掃引）</t>
        </is>
      </c>
      <c r="I38" s="42" t="n">
        <v>520</v>
      </c>
      <c r="J38" s="22">
        <f>$C$12*I38^2+$C$13*I38+$C$14</f>
        <v/>
      </c>
    </row>
    <row r="39">
      <c r="B39" s="26" t="n">
        <v>230</v>
      </c>
      <c r="C39" s="40" t="n">
        <v>0.0053</v>
      </c>
      <c r="D39" s="22">
        <f>$C$12*B39^2+$C$13*B39+$C$14</f>
        <v/>
      </c>
      <c r="E39" s="41" t="inlineStr">
        <is>
          <t>2回目（本掃引）</t>
        </is>
      </c>
      <c r="I39" s="42" t="n">
        <v>540</v>
      </c>
      <c r="J39" s="22">
        <f>$C$12*I39^2+$C$13*I39+$C$14</f>
        <v/>
      </c>
    </row>
    <row r="40">
      <c r="B40" s="26" t="n">
        <v>235</v>
      </c>
      <c r="C40" s="40" t="n">
        <v>0.0054</v>
      </c>
      <c r="D40" s="22">
        <f>$C$12*B40^2+$C$13*B40+$C$14</f>
        <v/>
      </c>
      <c r="E40" s="41" t="inlineStr">
        <is>
          <t>2回目（本掃引）</t>
        </is>
      </c>
      <c r="I40" s="42" t="n">
        <v>560</v>
      </c>
      <c r="J40" s="22">
        <f>$C$12*I40^2+$C$13*I40+$C$14</f>
        <v/>
      </c>
    </row>
    <row r="41">
      <c r="B41" s="26" t="n">
        <v>240</v>
      </c>
      <c r="C41" s="40" t="n">
        <v>0.0055</v>
      </c>
      <c r="D41" s="22">
        <f>$C$12*B41^2+$C$13*B41+$C$14</f>
        <v/>
      </c>
      <c r="E41" s="41" t="inlineStr">
        <is>
          <t>2回目（本掃引）</t>
        </is>
      </c>
      <c r="I41" s="42" t="n">
        <v>580</v>
      </c>
      <c r="J41" s="22">
        <f>$C$12*I41^2+$C$13*I41+$C$14</f>
        <v/>
      </c>
    </row>
    <row r="42">
      <c r="B42" s="26" t="n">
        <v>245</v>
      </c>
      <c r="C42" s="40" t="n">
        <v>0.0056</v>
      </c>
      <c r="D42" s="22">
        <f>$C$12*B42^2+$C$13*B42+$C$14</f>
        <v/>
      </c>
      <c r="E42" s="41" t="inlineStr">
        <is>
          <t>2回目（本掃引）</t>
        </is>
      </c>
      <c r="I42" s="42" t="n">
        <v>600</v>
      </c>
      <c r="J42" s="22">
        <f>$C$12*I42^2+$C$13*I42+$C$14</f>
        <v/>
      </c>
    </row>
    <row r="43">
      <c r="B43" s="26" t="n">
        <v>250</v>
      </c>
      <c r="C43" s="40" t="n">
        <v>0.0057</v>
      </c>
      <c r="D43" s="22">
        <f>$C$12*B43^2+$C$13*B43+$C$14</f>
        <v/>
      </c>
      <c r="E43" s="41" t="inlineStr">
        <is>
          <t>2回目（本掃引）</t>
        </is>
      </c>
      <c r="I43" s="42" t="n">
        <v>620</v>
      </c>
      <c r="J43" s="22">
        <f>$C$12*I43^2+$C$13*I43+$C$14</f>
        <v/>
      </c>
    </row>
    <row r="44">
      <c r="B44" s="26" t="n">
        <v>255</v>
      </c>
      <c r="C44" s="40" t="n">
        <v>0.0057</v>
      </c>
      <c r="D44" s="22">
        <f>$C$12*B44^2+$C$13*B44+$C$14</f>
        <v/>
      </c>
      <c r="E44" s="41" t="inlineStr">
        <is>
          <t>2回目（本掃引）</t>
        </is>
      </c>
      <c r="I44" s="42" t="n">
        <v>640</v>
      </c>
      <c r="J44" s="22">
        <f>$C$12*I44^2+$C$13*I44+$C$14</f>
        <v/>
      </c>
    </row>
    <row r="45">
      <c r="B45" s="26" t="n">
        <v>260</v>
      </c>
      <c r="C45" s="40" t="n">
        <v>0.0058</v>
      </c>
      <c r="D45" s="22">
        <f>$C$12*B45^2+$C$13*B45+$C$14</f>
        <v/>
      </c>
      <c r="E45" s="41" t="inlineStr">
        <is>
          <t>2回目（本掃引）</t>
        </is>
      </c>
      <c r="I45" s="42" t="n">
        <v>660</v>
      </c>
      <c r="J45" s="22">
        <f>$C$12*I45^2+$C$13*I45+$C$14</f>
        <v/>
      </c>
    </row>
    <row r="46">
      <c r="B46" s="26" t="n">
        <v>262</v>
      </c>
      <c r="C46" s="40" t="n">
        <v>0.0057</v>
      </c>
      <c r="D46" s="22">
        <f>$C$12*B46^2+$C$13*B46+$C$14</f>
        <v/>
      </c>
      <c r="E46" s="41" t="inlineStr">
        <is>
          <t>2回目（本掃引）</t>
        </is>
      </c>
      <c r="I46" s="42" t="n">
        <v>680</v>
      </c>
      <c r="J46" s="22">
        <f>$C$12*I46^2+$C$13*I46+$C$14</f>
        <v/>
      </c>
    </row>
    <row r="47">
      <c r="B47" s="26" t="n">
        <v>264</v>
      </c>
      <c r="C47" s="40" t="n">
        <v>0.0057</v>
      </c>
      <c r="D47" s="22">
        <f>$C$12*B47^2+$C$13*B47+$C$14</f>
        <v/>
      </c>
      <c r="E47" s="41" t="inlineStr">
        <is>
          <t>2回目（本掃引）</t>
        </is>
      </c>
      <c r="I47" s="42" t="n">
        <v>700</v>
      </c>
      <c r="J47" s="22">
        <f>$C$12*I47^2+$C$13*I47+$C$14</f>
        <v/>
      </c>
    </row>
    <row r="48">
      <c r="B48" s="26" t="n">
        <v>266</v>
      </c>
      <c r="C48" s="40" t="n">
        <v>0.0057</v>
      </c>
      <c r="D48" s="22">
        <f>$C$12*B48^2+$C$13*B48+$C$14</f>
        <v/>
      </c>
      <c r="E48" s="41" t="inlineStr">
        <is>
          <t>2回目（本掃引）</t>
        </is>
      </c>
      <c r="I48" s="42" t="n">
        <v>720</v>
      </c>
      <c r="J48" s="22">
        <f>$C$12*I48^2+$C$13*I48+$C$14</f>
        <v/>
      </c>
    </row>
    <row r="49">
      <c r="B49" s="26" t="n">
        <v>268</v>
      </c>
      <c r="C49" s="40" t="n">
        <v>0.0058</v>
      </c>
      <c r="D49" s="22">
        <f>$C$12*B49^2+$C$13*B49+$C$14</f>
        <v/>
      </c>
      <c r="E49" s="41" t="inlineStr">
        <is>
          <t>2回目（本掃引）</t>
        </is>
      </c>
      <c r="I49" s="42" t="n">
        <v>740</v>
      </c>
      <c r="J49" s="22">
        <f>$C$12*I49^2+$C$13*I49+$C$14</f>
        <v/>
      </c>
    </row>
    <row r="50">
      <c r="B50" s="26" t="n">
        <v>270</v>
      </c>
      <c r="C50" s="40" t="n">
        <v>0.0059</v>
      </c>
      <c r="D50" s="22">
        <f>$C$12*B50^2+$C$13*B50+$C$14</f>
        <v/>
      </c>
      <c r="E50" s="41" t="inlineStr">
        <is>
          <t>2回目（本掃引）</t>
        </is>
      </c>
      <c r="I50" s="42" t="n">
        <v>760</v>
      </c>
      <c r="J50" s="22">
        <f>$C$12*I50^2+$C$13*I50+$C$14</f>
        <v/>
      </c>
    </row>
    <row r="51">
      <c r="B51" s="26" t="n">
        <v>272</v>
      </c>
      <c r="C51" s="40" t="n">
        <v>0.0058</v>
      </c>
      <c r="D51" s="22">
        <f>$C$12*B51^2+$C$13*B51+$C$14</f>
        <v/>
      </c>
      <c r="E51" s="41" t="inlineStr">
        <is>
          <t>2回目（本掃引）</t>
        </is>
      </c>
      <c r="I51" s="42" t="n">
        <v>780</v>
      </c>
      <c r="J51" s="22">
        <f>$C$12*I51^2+$C$13*I51+$C$14</f>
        <v/>
      </c>
    </row>
    <row r="52">
      <c r="B52" s="26" t="n">
        <v>274</v>
      </c>
      <c r="C52" s="40" t="n">
        <v>0.0062</v>
      </c>
      <c r="D52" s="22">
        <f>$C$12*B52^2+$C$13*B52+$C$14</f>
        <v/>
      </c>
      <c r="E52" s="41" t="inlineStr">
        <is>
          <t>2回目（本掃引）</t>
        </is>
      </c>
      <c r="I52" s="42" t="n">
        <v>800</v>
      </c>
      <c r="J52" s="22">
        <f>$C$12*I52^2+$C$13*I52+$C$14</f>
        <v/>
      </c>
    </row>
    <row r="53">
      <c r="B53" s="26" t="n">
        <v>275</v>
      </c>
      <c r="C53" s="40" t="n">
        <v>0.0064</v>
      </c>
      <c r="D53" s="22">
        <f>$C$12*B53^2+$C$13*B53+$C$14</f>
        <v/>
      </c>
      <c r="E53" s="41" t="inlineStr">
        <is>
          <t>2回目（本掃引）</t>
        </is>
      </c>
      <c r="I53" s="42" t="n">
        <v>820</v>
      </c>
      <c r="J53" s="22">
        <f>$C$12*I53^2+$C$13*I53+$C$14</f>
        <v/>
      </c>
    </row>
    <row r="54">
      <c r="B54" s="26" t="n">
        <v>276</v>
      </c>
      <c r="C54" s="40" t="n">
        <v>0.0068</v>
      </c>
      <c r="D54" s="22">
        <f>$C$12*B54^2+$C$13*B54+$C$14</f>
        <v/>
      </c>
      <c r="E54" s="41" t="inlineStr">
        <is>
          <t>2回目（本掃引）</t>
        </is>
      </c>
      <c r="I54" s="42" t="n">
        <v>840</v>
      </c>
      <c r="J54" s="22">
        <f>$C$12*I54^2+$C$13*I54+$C$14</f>
        <v/>
      </c>
    </row>
    <row r="55">
      <c r="B55" s="26" t="n">
        <v>277</v>
      </c>
      <c r="C55" s="40" t="n">
        <v>0.0069</v>
      </c>
      <c r="D55" s="22">
        <f>$C$12*B55^2+$C$13*B55+$C$14</f>
        <v/>
      </c>
      <c r="E55" s="41" t="inlineStr">
        <is>
          <t>2回目（本掃引）</t>
        </is>
      </c>
      <c r="I55" s="42" t="n">
        <v>860</v>
      </c>
      <c r="J55" s="22">
        <f>$C$12*I55^2+$C$13*I55+$C$14</f>
        <v/>
      </c>
    </row>
    <row r="56">
      <c r="B56" s="26" t="n">
        <v>278</v>
      </c>
      <c r="C56" s="40" t="n">
        <v>0.007</v>
      </c>
      <c r="D56" s="22">
        <f>$C$12*B56^2+$C$13*B56+$C$14</f>
        <v/>
      </c>
      <c r="E56" s="41" t="inlineStr">
        <is>
          <t>2回目（本掃引）</t>
        </is>
      </c>
    </row>
    <row r="57">
      <c r="B57" s="26" t="n">
        <v>279</v>
      </c>
      <c r="C57" s="40" t="n">
        <v>0.007</v>
      </c>
      <c r="D57" s="22">
        <f>$C$12*B57^2+$C$13*B57+$C$14</f>
        <v/>
      </c>
      <c r="E57" s="41" t="inlineStr">
        <is>
          <t>2回目（本掃引）</t>
        </is>
      </c>
    </row>
    <row r="58">
      <c r="B58" s="26" t="n">
        <v>280</v>
      </c>
      <c r="C58" s="40" t="n">
        <v>0.0069</v>
      </c>
      <c r="D58" s="22">
        <f>$C$12*B58^2+$C$13*B58+$C$14</f>
        <v/>
      </c>
      <c r="E58" s="41" t="inlineStr">
        <is>
          <t>2回目（本掃引）</t>
        </is>
      </c>
    </row>
    <row r="59">
      <c r="B59" s="26" t="n">
        <v>281</v>
      </c>
      <c r="C59" s="40" t="n">
        <v>0.0067</v>
      </c>
      <c r="D59" s="22">
        <f>$C$12*B59^2+$C$13*B59+$C$14</f>
        <v/>
      </c>
      <c r="E59" s="41" t="inlineStr">
        <is>
          <t>2回目（本掃引）</t>
        </is>
      </c>
    </row>
    <row r="60">
      <c r="B60" s="26" t="n">
        <v>282</v>
      </c>
      <c r="C60" s="40" t="n">
        <v>0.0065</v>
      </c>
      <c r="D60" s="22">
        <f>$C$12*B60^2+$C$13*B60+$C$14</f>
        <v/>
      </c>
      <c r="E60" s="41" t="inlineStr">
        <is>
          <t>2回目（本掃引）</t>
        </is>
      </c>
    </row>
    <row r="61">
      <c r="B61" s="26" t="n">
        <v>283</v>
      </c>
      <c r="C61" s="40" t="n">
        <v>0.0063</v>
      </c>
      <c r="D61" s="22">
        <f>$C$12*B61^2+$C$13*B61+$C$14</f>
        <v/>
      </c>
      <c r="E61" s="41" t="inlineStr">
        <is>
          <t>2回目（本掃引）</t>
        </is>
      </c>
    </row>
    <row r="62">
      <c r="B62" s="26" t="n">
        <v>284</v>
      </c>
      <c r="C62" s="40" t="n">
        <v>0.0062</v>
      </c>
      <c r="D62" s="22">
        <f>$C$12*B62^2+$C$13*B62+$C$14</f>
        <v/>
      </c>
      <c r="E62" s="41" t="inlineStr">
        <is>
          <t>2回目（本掃引）</t>
        </is>
      </c>
    </row>
    <row r="63">
      <c r="B63" s="26" t="n">
        <v>285</v>
      </c>
      <c r="C63" s="40" t="n">
        <v>0.0061</v>
      </c>
      <c r="D63" s="22">
        <f>$C$12*B63^2+$C$13*B63+$C$14</f>
        <v/>
      </c>
      <c r="E63" s="41" t="inlineStr">
        <is>
          <t>2回目（本掃引）</t>
        </is>
      </c>
    </row>
    <row r="64">
      <c r="B64" s="26" t="n">
        <v>286</v>
      </c>
      <c r="C64" s="40" t="n">
        <v>0.006</v>
      </c>
      <c r="D64" s="22">
        <f>$C$12*B64^2+$C$13*B64+$C$14</f>
        <v/>
      </c>
      <c r="E64" s="41" t="inlineStr">
        <is>
          <t>2回目（本掃引）</t>
        </is>
      </c>
    </row>
    <row r="65">
      <c r="B65" s="26" t="n">
        <v>287</v>
      </c>
      <c r="C65" s="40" t="n">
        <v>0.0059</v>
      </c>
      <c r="D65" s="22">
        <f>$C$12*B65^2+$C$13*B65+$C$14</f>
        <v/>
      </c>
      <c r="E65" s="41" t="inlineStr">
        <is>
          <t>2回目（本掃引）</t>
        </is>
      </c>
    </row>
    <row r="66">
      <c r="B66" s="26" t="n">
        <v>288</v>
      </c>
      <c r="C66" s="40" t="n">
        <v>0.0059</v>
      </c>
      <c r="D66" s="22">
        <f>$C$12*B66^2+$C$13*B66+$C$14</f>
        <v/>
      </c>
      <c r="E66" s="41" t="inlineStr">
        <is>
          <t>2回目（本掃引）</t>
        </is>
      </c>
    </row>
    <row r="67">
      <c r="B67" s="26" t="n">
        <v>289</v>
      </c>
      <c r="C67" s="40" t="n">
        <v>0.0058</v>
      </c>
      <c r="D67" s="22">
        <f>$C$12*B67^2+$C$13*B67+$C$14</f>
        <v/>
      </c>
      <c r="E67" s="41" t="inlineStr">
        <is>
          <t>2回目（本掃引）</t>
        </is>
      </c>
    </row>
    <row r="68">
      <c r="B68" s="26" t="n">
        <v>290</v>
      </c>
      <c r="C68" s="40" t="n">
        <v>0.0058</v>
      </c>
      <c r="D68" s="22">
        <f>$C$12*B68^2+$C$13*B68+$C$14</f>
        <v/>
      </c>
      <c r="E68" s="41" t="inlineStr">
        <is>
          <t>2回目（本掃引）</t>
        </is>
      </c>
    </row>
    <row r="69">
      <c r="B69" s="26" t="n">
        <v>292</v>
      </c>
      <c r="C69" s="40" t="n">
        <v>0.0057</v>
      </c>
      <c r="D69" s="22">
        <f>$C$12*B69^2+$C$13*B69+$C$14</f>
        <v/>
      </c>
      <c r="E69" s="41" t="inlineStr">
        <is>
          <t>2回目（本掃引）</t>
        </is>
      </c>
    </row>
    <row r="70">
      <c r="B70" s="26" t="n">
        <v>294</v>
      </c>
      <c r="C70" s="40" t="n">
        <v>0.0054</v>
      </c>
      <c r="D70" s="22">
        <f>$C$12*B70^2+$C$13*B70+$C$14</f>
        <v/>
      </c>
      <c r="E70" s="41" t="inlineStr">
        <is>
          <t>2回目（本掃引）</t>
        </is>
      </c>
    </row>
    <row r="71">
      <c r="B71" s="26" t="n">
        <v>296</v>
      </c>
      <c r="C71" s="40" t="n">
        <v>0.0051</v>
      </c>
      <c r="D71" s="22">
        <f>$C$12*B71^2+$C$13*B71+$C$14</f>
        <v/>
      </c>
      <c r="E71" s="41" t="inlineStr">
        <is>
          <t>2回目（本掃引）</t>
        </is>
      </c>
    </row>
    <row r="72">
      <c r="B72" s="26" t="n">
        <v>298</v>
      </c>
      <c r="C72" s="40" t="n">
        <v>0.005</v>
      </c>
      <c r="D72" s="22">
        <f>$C$12*B72^2+$C$13*B72+$C$14</f>
        <v/>
      </c>
      <c r="E72" s="41" t="inlineStr">
        <is>
          <t>2回目（本掃引）</t>
        </is>
      </c>
    </row>
    <row r="73">
      <c r="B73" s="26" t="n">
        <v>300</v>
      </c>
      <c r="C73" s="40" t="n">
        <v>0.0049</v>
      </c>
      <c r="D73" s="22">
        <f>$C$12*B73^2+$C$13*B73+$C$14</f>
        <v/>
      </c>
      <c r="E73" s="41" t="inlineStr">
        <is>
          <t>2回目（本掃引）</t>
        </is>
      </c>
    </row>
    <row r="74">
      <c r="B74" s="26" t="n">
        <v>325</v>
      </c>
      <c r="C74" s="40" t="n">
        <v>0.0048</v>
      </c>
      <c r="D74" s="22">
        <f>$C$12*B74^2+$C$13*B74+$C$14</f>
        <v/>
      </c>
      <c r="E74" s="41" t="inlineStr">
        <is>
          <t>2回目（本掃引）</t>
        </is>
      </c>
    </row>
    <row r="75">
      <c r="B75" s="26" t="n">
        <v>350</v>
      </c>
      <c r="C75" s="40" t="n">
        <v>0.0049</v>
      </c>
      <c r="D75" s="22">
        <f>$C$12*B75^2+$C$13*B75+$C$14</f>
        <v/>
      </c>
      <c r="E75" s="41" t="inlineStr">
        <is>
          <t>2回目（本掃引）</t>
        </is>
      </c>
    </row>
    <row r="76">
      <c r="B76" s="26" t="n">
        <v>375</v>
      </c>
      <c r="C76" s="40" t="n">
        <v>0.0049</v>
      </c>
      <c r="D76" s="22">
        <f>$C$12*B76^2+$C$13*B76+$C$14</f>
        <v/>
      </c>
      <c r="E76" s="41" t="inlineStr">
        <is>
          <t>2回目（本掃引）</t>
        </is>
      </c>
    </row>
    <row r="77">
      <c r="B77" s="26" t="n">
        <v>400</v>
      </c>
      <c r="C77" s="40" t="n">
        <v>0.0049</v>
      </c>
      <c r="D77" s="22">
        <f>$C$12*B77^2+$C$13*B77+$C$14</f>
        <v/>
      </c>
      <c r="E77" s="41" t="inlineStr">
        <is>
          <t>2回目（本掃引）</t>
        </is>
      </c>
    </row>
    <row r="78">
      <c r="B78" s="26" t="n">
        <v>425</v>
      </c>
      <c r="C78" s="40" t="n">
        <v>0.0049</v>
      </c>
      <c r="D78" s="22">
        <f>$C$12*B78^2+$C$13*B78+$C$14</f>
        <v/>
      </c>
      <c r="E78" s="41" t="inlineStr">
        <is>
          <t>2回目（本掃引）</t>
        </is>
      </c>
    </row>
    <row r="79">
      <c r="B79" s="26" t="n">
        <v>450</v>
      </c>
      <c r="C79" s="40" t="n">
        <v>0.0049</v>
      </c>
      <c r="D79" s="22">
        <f>$C$12*B79^2+$C$13*B79+$C$14</f>
        <v/>
      </c>
      <c r="E79" s="41" t="inlineStr">
        <is>
          <t>2回目（本掃引）</t>
        </is>
      </c>
    </row>
    <row r="80">
      <c r="B80" s="26" t="n">
        <v>475</v>
      </c>
      <c r="C80" s="40" t="n">
        <v>0.0049</v>
      </c>
      <c r="D80" s="22">
        <f>$C$12*B80^2+$C$13*B80+$C$14</f>
        <v/>
      </c>
      <c r="E80" s="41" t="inlineStr">
        <is>
          <t>2回目（本掃引）</t>
        </is>
      </c>
    </row>
    <row r="81">
      <c r="B81" s="26" t="n">
        <v>500</v>
      </c>
      <c r="C81" s="40" t="n">
        <v>0.0047</v>
      </c>
      <c r="D81" s="22">
        <f>$C$12*B81^2+$C$13*B81+$C$14</f>
        <v/>
      </c>
      <c r="E81" s="41" t="inlineStr">
        <is>
          <t>2回目（本掃引）</t>
        </is>
      </c>
    </row>
    <row r="82">
      <c r="B82" s="26" t="n">
        <v>525</v>
      </c>
      <c r="C82" s="40" t="n">
        <v>0.0048</v>
      </c>
      <c r="D82" s="22">
        <f>$C$12*B82^2+$C$13*B82+$C$14</f>
        <v/>
      </c>
      <c r="E82" s="41" t="inlineStr">
        <is>
          <t>2回目（本掃引）</t>
        </is>
      </c>
    </row>
    <row r="83">
      <c r="B83" s="26" t="n">
        <v>550</v>
      </c>
      <c r="C83" s="40" t="n">
        <v>0.0048</v>
      </c>
      <c r="D83" s="22">
        <f>$C$12*B83^2+$C$13*B83+$C$14</f>
        <v/>
      </c>
      <c r="E83" s="41" t="inlineStr">
        <is>
          <t>2回目（本掃引）</t>
        </is>
      </c>
    </row>
    <row r="84">
      <c r="B84" s="26" t="n">
        <v>575</v>
      </c>
      <c r="C84" s="40" t="n">
        <v>0.0048</v>
      </c>
      <c r="D84" s="22">
        <f>$C$12*B84^2+$C$13*B84+$C$14</f>
        <v/>
      </c>
      <c r="E84" s="41" t="inlineStr">
        <is>
          <t>2回目（本掃引）</t>
        </is>
      </c>
    </row>
    <row r="85">
      <c r="B85" s="26" t="n">
        <v>600</v>
      </c>
      <c r="C85" s="40" t="n">
        <v>0.005</v>
      </c>
      <c r="D85" s="22">
        <f>$C$12*B85^2+$C$13*B85+$C$14</f>
        <v/>
      </c>
      <c r="E85" s="41" t="inlineStr">
        <is>
          <t>2回目（本掃引）</t>
        </is>
      </c>
    </row>
    <row r="86">
      <c r="B86" s="26" t="n">
        <v>625</v>
      </c>
      <c r="C86" s="40" t="n">
        <v>0.0059</v>
      </c>
      <c r="D86" s="22">
        <f>$C$12*B86^2+$C$13*B86+$C$14</f>
        <v/>
      </c>
      <c r="E86" s="41" t="inlineStr">
        <is>
          <t>2回目（本掃引）</t>
        </is>
      </c>
    </row>
    <row r="87">
      <c r="B87" s="26" t="n">
        <v>626</v>
      </c>
      <c r="C87" s="40" t="n">
        <v>0.0062</v>
      </c>
      <c r="D87" s="22">
        <f>$C$12*B87^2+$C$13*B87+$C$14</f>
        <v/>
      </c>
      <c r="E87" s="41" t="inlineStr">
        <is>
          <t>2回目（本掃引）</t>
        </is>
      </c>
    </row>
    <row r="88">
      <c r="B88" s="26" t="n">
        <v>627</v>
      </c>
      <c r="C88" s="40" t="n">
        <v>0.0065</v>
      </c>
      <c r="D88" s="22">
        <f>$C$12*B88^2+$C$13*B88+$C$14</f>
        <v/>
      </c>
      <c r="E88" s="41" t="inlineStr">
        <is>
          <t>2回目（本掃引）</t>
        </is>
      </c>
    </row>
    <row r="89">
      <c r="B89" s="26" t="n">
        <v>628</v>
      </c>
      <c r="C89" s="40" t="n">
        <v>0.0069</v>
      </c>
      <c r="D89" s="22">
        <f>$C$12*B89^2+$C$13*B89+$C$14</f>
        <v/>
      </c>
      <c r="E89" s="41" t="inlineStr">
        <is>
          <t>2回目（本掃引）</t>
        </is>
      </c>
    </row>
    <row r="90">
      <c r="B90" s="26" t="n">
        <v>629</v>
      </c>
      <c r="C90" s="40" t="n">
        <v>0.0074</v>
      </c>
      <c r="D90" s="22">
        <f>$C$12*B90^2+$C$13*B90+$C$14</f>
        <v/>
      </c>
      <c r="E90" s="41" t="inlineStr">
        <is>
          <t>2回目（本掃引）</t>
        </is>
      </c>
    </row>
    <row r="91">
      <c r="B91" s="26" t="n">
        <v>630</v>
      </c>
      <c r="C91" s="40" t="n">
        <v>0.008</v>
      </c>
      <c r="D91" s="22">
        <f>$C$12*B91^2+$C$13*B91+$C$14</f>
        <v/>
      </c>
      <c r="E91" s="41" t="inlineStr">
        <is>
          <t>2回目（本掃引）</t>
        </is>
      </c>
    </row>
    <row r="92">
      <c r="B92" s="26" t="n">
        <v>631</v>
      </c>
      <c r="C92" s="40" t="n">
        <v>0.0081</v>
      </c>
      <c r="D92" s="22">
        <f>$C$12*B92^2+$C$13*B92+$C$14</f>
        <v/>
      </c>
      <c r="E92" s="41" t="inlineStr">
        <is>
          <t>2回目（本掃引）</t>
        </is>
      </c>
    </row>
    <row r="93">
      <c r="B93" s="26" t="n">
        <v>632</v>
      </c>
      <c r="C93" s="40" t="n">
        <v>0.0083</v>
      </c>
      <c r="D93" s="22">
        <f>$C$12*B93^2+$C$13*B93+$C$14</f>
        <v/>
      </c>
      <c r="E93" s="41" t="inlineStr">
        <is>
          <t>2回目（本掃引）</t>
        </is>
      </c>
    </row>
    <row r="94">
      <c r="B94" s="26" t="n">
        <v>633</v>
      </c>
      <c r="C94" s="40" t="n">
        <v>0.008200000000000001</v>
      </c>
      <c r="D94" s="22">
        <f>$C$12*B94^2+$C$13*B94+$C$14</f>
        <v/>
      </c>
      <c r="E94" s="41" t="inlineStr">
        <is>
          <t>2回目（本掃引）</t>
        </is>
      </c>
    </row>
    <row r="95">
      <c r="B95" s="26" t="n">
        <v>634</v>
      </c>
      <c r="C95" s="40" t="n">
        <v>0.0089</v>
      </c>
      <c r="D95" s="22">
        <f>$C$12*B95^2+$C$13*B95+$C$14</f>
        <v/>
      </c>
      <c r="E95" s="41" t="inlineStr">
        <is>
          <t>2回目（本掃引）</t>
        </is>
      </c>
    </row>
    <row r="96">
      <c r="B96" s="26" t="n">
        <v>635</v>
      </c>
      <c r="C96" s="40" t="n">
        <v>0.0077</v>
      </c>
      <c r="D96" s="22">
        <f>$C$12*B96^2+$C$13*B96+$C$14</f>
        <v/>
      </c>
      <c r="E96" s="41" t="inlineStr">
        <is>
          <t>2回目（本掃引）</t>
        </is>
      </c>
    </row>
    <row r="97">
      <c r="B97" s="26" t="n">
        <v>636</v>
      </c>
      <c r="C97" s="40" t="n">
        <v>0.0074</v>
      </c>
      <c r="D97" s="22">
        <f>$C$12*B97^2+$C$13*B97+$C$14</f>
        <v/>
      </c>
      <c r="E97" s="41" t="inlineStr">
        <is>
          <t>2回目（本掃引）</t>
        </is>
      </c>
    </row>
    <row r="98">
      <c r="B98" s="26" t="n">
        <v>637</v>
      </c>
      <c r="C98" s="40" t="n">
        <v>0.0073</v>
      </c>
      <c r="D98" s="22">
        <f>$C$12*B98^2+$C$13*B98+$C$14</f>
        <v/>
      </c>
      <c r="E98" s="41" t="inlineStr">
        <is>
          <t>2回目（本掃引）</t>
        </is>
      </c>
    </row>
    <row r="99">
      <c r="B99" s="26" t="n">
        <v>638</v>
      </c>
      <c r="C99" s="40" t="n">
        <v>0.007</v>
      </c>
      <c r="D99" s="22">
        <f>$C$12*B99^2+$C$13*B99+$C$14</f>
        <v/>
      </c>
      <c r="E99" s="41" t="inlineStr">
        <is>
          <t>2回目（本掃引）</t>
        </is>
      </c>
    </row>
    <row r="100">
      <c r="B100" s="26" t="n">
        <v>639</v>
      </c>
      <c r="C100" s="40" t="n">
        <v>0.0069</v>
      </c>
      <c r="D100" s="22">
        <f>$C$12*B100^2+$C$13*B100+$C$14</f>
        <v/>
      </c>
      <c r="E100" s="41" t="inlineStr">
        <is>
          <t>2回目（本掃引）</t>
        </is>
      </c>
    </row>
    <row r="101">
      <c r="B101" s="26" t="n">
        <v>640</v>
      </c>
      <c r="C101" s="40" t="n">
        <v>0.0069</v>
      </c>
      <c r="D101" s="22">
        <f>$C$12*B101^2+$C$13*B101+$C$14</f>
        <v/>
      </c>
      <c r="E101" s="41" t="inlineStr">
        <is>
          <t>2回目（本掃引）</t>
        </is>
      </c>
    </row>
    <row r="102">
      <c r="B102" s="26" t="n">
        <v>641</v>
      </c>
      <c r="C102" s="40" t="n">
        <v>0.0068</v>
      </c>
      <c r="D102" s="22">
        <f>$C$12*B102^2+$C$13*B102+$C$14</f>
        <v/>
      </c>
      <c r="E102" s="41" t="inlineStr">
        <is>
          <t>2回目（本掃引）</t>
        </is>
      </c>
    </row>
    <row r="103">
      <c r="B103" s="26" t="n">
        <v>642</v>
      </c>
      <c r="C103" s="40" t="n">
        <v>0.0067</v>
      </c>
      <c r="D103" s="22">
        <f>$C$12*B103^2+$C$13*B103+$C$14</f>
        <v/>
      </c>
      <c r="E103" s="41" t="inlineStr">
        <is>
          <t>2回目（本掃引）</t>
        </is>
      </c>
    </row>
    <row r="104">
      <c r="B104" s="26" t="n">
        <v>643</v>
      </c>
      <c r="C104" s="40" t="n">
        <v>0.0067</v>
      </c>
      <c r="D104" s="22">
        <f>$C$12*B104^2+$C$13*B104+$C$14</f>
        <v/>
      </c>
      <c r="E104" s="41" t="inlineStr">
        <is>
          <t>2回目（本掃引）</t>
        </is>
      </c>
    </row>
    <row r="105">
      <c r="B105" s="26" t="n">
        <v>644</v>
      </c>
      <c r="C105" s="40" t="n">
        <v>0.0066</v>
      </c>
      <c r="D105" s="22">
        <f>$C$12*B105^2+$C$13*B105+$C$14</f>
        <v/>
      </c>
      <c r="E105" s="41" t="inlineStr">
        <is>
          <t>2回目（本掃引）</t>
        </is>
      </c>
    </row>
    <row r="106">
      <c r="B106" s="26" t="n">
        <v>645</v>
      </c>
      <c r="C106" s="40" t="n">
        <v>0.0064</v>
      </c>
      <c r="D106" s="22">
        <f>$C$12*B106^2+$C$13*B106+$C$14</f>
        <v/>
      </c>
      <c r="E106" s="41" t="inlineStr">
        <is>
          <t>2回目（本掃引）</t>
        </is>
      </c>
    </row>
    <row r="107">
      <c r="B107" s="26" t="n">
        <v>646</v>
      </c>
      <c r="C107" s="40" t="n">
        <v>0.0064</v>
      </c>
      <c r="D107" s="22">
        <f>$C$12*B107^2+$C$13*B107+$C$14</f>
        <v/>
      </c>
      <c r="E107" s="41" t="inlineStr">
        <is>
          <t>2回目（本掃引）</t>
        </is>
      </c>
    </row>
    <row r="108">
      <c r="B108" s="26" t="n">
        <v>647</v>
      </c>
      <c r="C108" s="40" t="n">
        <v>0.0063</v>
      </c>
      <c r="D108" s="22">
        <f>$C$12*B108^2+$C$13*B108+$C$14</f>
        <v/>
      </c>
      <c r="E108" s="41" t="inlineStr">
        <is>
          <t>2回目（本掃引）</t>
        </is>
      </c>
    </row>
    <row r="109">
      <c r="B109" s="26" t="n">
        <v>648</v>
      </c>
      <c r="C109" s="40" t="n">
        <v>0.0062</v>
      </c>
      <c r="D109" s="22">
        <f>$C$12*B109^2+$C$13*B109+$C$14</f>
        <v/>
      </c>
      <c r="E109" s="41" t="inlineStr">
        <is>
          <t>2回目（本掃引）</t>
        </is>
      </c>
    </row>
    <row r="110">
      <c r="B110" s="26" t="n">
        <v>649</v>
      </c>
      <c r="C110" s="40" t="n">
        <v>0.006</v>
      </c>
      <c r="D110" s="22">
        <f>$C$12*B110^2+$C$13*B110+$C$14</f>
        <v/>
      </c>
      <c r="E110" s="41" t="inlineStr">
        <is>
          <t>2回目（本掃引）</t>
        </is>
      </c>
    </row>
    <row r="111">
      <c r="B111" s="26" t="n">
        <v>650</v>
      </c>
      <c r="C111" s="40" t="n">
        <v>0.006</v>
      </c>
      <c r="D111" s="22">
        <f>$C$12*B111^2+$C$13*B111+$C$14</f>
        <v/>
      </c>
      <c r="E111" s="41" t="inlineStr">
        <is>
          <t>2回目（本掃引）</t>
        </is>
      </c>
    </row>
    <row r="112">
      <c r="B112" s="26" t="n">
        <v>651</v>
      </c>
      <c r="C112" s="40" t="n">
        <v>0.0058</v>
      </c>
      <c r="D112" s="22">
        <f>$C$12*B112^2+$C$13*B112+$C$14</f>
        <v/>
      </c>
      <c r="E112" s="41" t="inlineStr">
        <is>
          <t>2回目（本掃引）</t>
        </is>
      </c>
    </row>
    <row r="113">
      <c r="B113" s="26" t="n">
        <v>652</v>
      </c>
      <c r="C113" s="40" t="n">
        <v>0.0056</v>
      </c>
      <c r="D113" s="22">
        <f>$C$12*B113^2+$C$13*B113+$C$14</f>
        <v/>
      </c>
      <c r="E113" s="41" t="inlineStr">
        <is>
          <t>2回目（本掃引）</t>
        </is>
      </c>
    </row>
    <row r="114">
      <c r="B114" s="26" t="n">
        <v>653</v>
      </c>
      <c r="C114" s="40" t="n">
        <v>0.0055</v>
      </c>
      <c r="D114" s="22">
        <f>$C$12*B114^2+$C$13*B114+$C$14</f>
        <v/>
      </c>
      <c r="E114" s="41" t="inlineStr">
        <is>
          <t>2回目（本掃引）</t>
        </is>
      </c>
    </row>
    <row r="115">
      <c r="B115" s="26" t="n">
        <v>654</v>
      </c>
      <c r="C115" s="40" t="n">
        <v>0.0053</v>
      </c>
      <c r="D115" s="22">
        <f>$C$12*B115^2+$C$13*B115+$C$14</f>
        <v/>
      </c>
      <c r="E115" s="41" t="inlineStr">
        <is>
          <t>2回目（本掃引）</t>
        </is>
      </c>
    </row>
    <row r="116">
      <c r="B116" s="26" t="n">
        <v>655</v>
      </c>
      <c r="C116" s="40" t="n">
        <v>0.0051</v>
      </c>
      <c r="D116" s="22">
        <f>$C$12*B116^2+$C$13*B116+$C$14</f>
        <v/>
      </c>
      <c r="E116" s="41" t="inlineStr">
        <is>
          <t>2回目（本掃引）</t>
        </is>
      </c>
    </row>
    <row r="117">
      <c r="B117" s="26" t="n">
        <v>656</v>
      </c>
      <c r="C117" s="40" t="n">
        <v>0.005</v>
      </c>
      <c r="D117" s="22">
        <f>$C$12*B117^2+$C$13*B117+$C$14</f>
        <v/>
      </c>
      <c r="E117" s="41" t="inlineStr">
        <is>
          <t>2回目（本掃引）</t>
        </is>
      </c>
    </row>
    <row r="118">
      <c r="B118" s="26" t="n">
        <v>658</v>
      </c>
      <c r="C118" s="40" t="n">
        <v>0.005</v>
      </c>
      <c r="D118" s="22">
        <f>$C$12*B118^2+$C$13*B118+$C$14</f>
        <v/>
      </c>
      <c r="E118" s="41" t="inlineStr">
        <is>
          <t>2回目（本掃引）</t>
        </is>
      </c>
    </row>
    <row r="119">
      <c r="B119" s="26" t="n">
        <v>660</v>
      </c>
      <c r="C119" s="40" t="n">
        <v>0.005</v>
      </c>
      <c r="D119" s="22">
        <f>$C$12*B119^2+$C$13*B119+$C$14</f>
        <v/>
      </c>
      <c r="E119" s="41" t="inlineStr">
        <is>
          <t>2回目（本掃引）</t>
        </is>
      </c>
    </row>
    <row r="120">
      <c r="B120" s="26" t="n">
        <v>662</v>
      </c>
      <c r="C120" s="40" t="n">
        <v>0.005</v>
      </c>
      <c r="D120" s="22">
        <f>$C$12*B120^2+$C$13*B120+$C$14</f>
        <v/>
      </c>
      <c r="E120" s="41" t="inlineStr">
        <is>
          <t>2回目（本掃引）</t>
        </is>
      </c>
    </row>
    <row r="121">
      <c r="B121" s="26" t="n">
        <v>664</v>
      </c>
      <c r="C121" s="40" t="n">
        <v>0.005</v>
      </c>
      <c r="D121" s="22">
        <f>$C$12*B121^2+$C$13*B121+$C$14</f>
        <v/>
      </c>
      <c r="E121" s="41" t="inlineStr">
        <is>
          <t>2回目（本掃引）</t>
        </is>
      </c>
    </row>
    <row r="122">
      <c r="B122" s="26" t="n">
        <v>666</v>
      </c>
      <c r="C122" s="40" t="n">
        <v>0.005</v>
      </c>
      <c r="D122" s="22">
        <f>$C$12*B122^2+$C$13*B122+$C$14</f>
        <v/>
      </c>
      <c r="E122" s="41" t="inlineStr">
        <is>
          <t>2回目（本掃引）</t>
        </is>
      </c>
    </row>
    <row r="123">
      <c r="B123" s="26" t="n">
        <v>668</v>
      </c>
      <c r="C123" s="40" t="n">
        <v>0.0051</v>
      </c>
      <c r="D123" s="22">
        <f>$C$12*B123^2+$C$13*B123+$C$14</f>
        <v/>
      </c>
      <c r="E123" s="41" t="inlineStr">
        <is>
          <t>2回目（本掃引）</t>
        </is>
      </c>
    </row>
    <row r="124">
      <c r="B124" s="26" t="n">
        <v>670</v>
      </c>
      <c r="C124" s="40" t="n">
        <v>0.0051</v>
      </c>
      <c r="D124" s="22">
        <f>$C$12*B124^2+$C$13*B124+$C$14</f>
        <v/>
      </c>
      <c r="E124" s="41" t="inlineStr">
        <is>
          <t>2回目（本掃引）</t>
        </is>
      </c>
    </row>
    <row r="125">
      <c r="B125" s="26" t="n">
        <v>672</v>
      </c>
      <c r="C125" s="40" t="n">
        <v>0.0051</v>
      </c>
      <c r="D125" s="22">
        <f>$C$12*B125^2+$C$13*B125+$C$14</f>
        <v/>
      </c>
      <c r="E125" s="41" t="inlineStr">
        <is>
          <t>2回目（本掃引）</t>
        </is>
      </c>
    </row>
    <row r="126">
      <c r="B126" s="26" t="n">
        <v>674</v>
      </c>
      <c r="C126" s="40" t="n">
        <v>0.0051</v>
      </c>
      <c r="D126" s="22">
        <f>$C$12*B126^2+$C$13*B126+$C$14</f>
        <v/>
      </c>
      <c r="E126" s="41" t="inlineStr">
        <is>
          <t>2回目（本掃引）</t>
        </is>
      </c>
    </row>
    <row r="127">
      <c r="B127" s="26" t="n">
        <v>676</v>
      </c>
      <c r="C127" s="40" t="n">
        <v>0.0051</v>
      </c>
      <c r="D127" s="22">
        <f>$C$12*B127^2+$C$13*B127+$C$14</f>
        <v/>
      </c>
      <c r="E127" s="41" t="inlineStr">
        <is>
          <t>2回目（本掃引）</t>
        </is>
      </c>
    </row>
    <row r="128">
      <c r="B128" s="26" t="n">
        <v>678</v>
      </c>
      <c r="C128" s="40" t="n">
        <v>0.0052</v>
      </c>
      <c r="D128" s="22">
        <f>$C$12*B128^2+$C$13*B128+$C$14</f>
        <v/>
      </c>
      <c r="E128" s="41" t="inlineStr">
        <is>
          <t>2回目（本掃引）</t>
        </is>
      </c>
    </row>
    <row r="129">
      <c r="B129" s="26" t="n">
        <v>680</v>
      </c>
      <c r="C129" s="40" t="n">
        <v>0.0052</v>
      </c>
      <c r="D129" s="22">
        <f>$C$12*B129^2+$C$13*B129+$C$14</f>
        <v/>
      </c>
      <c r="E129" s="41" t="inlineStr">
        <is>
          <t>2回目（本掃引）</t>
        </is>
      </c>
    </row>
    <row r="130">
      <c r="B130" s="26" t="n">
        <v>682</v>
      </c>
      <c r="C130" s="40" t="n">
        <v>0.0052</v>
      </c>
      <c r="D130" s="22">
        <f>$C$12*B130^2+$C$13*B130+$C$14</f>
        <v/>
      </c>
      <c r="E130" s="41" t="inlineStr">
        <is>
          <t>2回目（本掃引）</t>
        </is>
      </c>
    </row>
    <row r="131">
      <c r="B131" s="26" t="n">
        <v>684</v>
      </c>
      <c r="C131" s="40" t="n">
        <v>0.0052</v>
      </c>
      <c r="D131" s="22">
        <f>$C$12*B131^2+$C$13*B131+$C$14</f>
        <v/>
      </c>
      <c r="E131" s="41" t="inlineStr">
        <is>
          <t>2回目（本掃引）</t>
        </is>
      </c>
    </row>
    <row r="132">
      <c r="B132" s="26" t="n">
        <v>686</v>
      </c>
      <c r="C132" s="40" t="n">
        <v>0.0054</v>
      </c>
      <c r="D132" s="22">
        <f>$C$12*B132^2+$C$13*B132+$C$14</f>
        <v/>
      </c>
      <c r="E132" s="41" t="inlineStr">
        <is>
          <t>2回目（本掃引）</t>
        </is>
      </c>
    </row>
    <row r="133">
      <c r="B133" s="26" t="n">
        <v>688</v>
      </c>
      <c r="C133" s="40" t="n">
        <v>0.0053</v>
      </c>
      <c r="D133" s="22">
        <f>$C$12*B133^2+$C$13*B133+$C$14</f>
        <v/>
      </c>
      <c r="E133" s="41" t="inlineStr">
        <is>
          <t>2回目（本掃引）</t>
        </is>
      </c>
    </row>
    <row r="134">
      <c r="B134" s="26" t="n">
        <v>690</v>
      </c>
      <c r="C134" s="40" t="n">
        <v>0.0054</v>
      </c>
      <c r="D134" s="22">
        <f>$C$12*B134^2+$C$13*B134+$C$14</f>
        <v/>
      </c>
      <c r="E134" s="41" t="inlineStr">
        <is>
          <t>2回目（本掃引）</t>
        </is>
      </c>
    </row>
    <row r="135">
      <c r="B135" s="26" t="n">
        <v>695</v>
      </c>
      <c r="C135" s="40" t="n">
        <v>0.0056</v>
      </c>
      <c r="D135" s="22">
        <f>$C$12*B135^2+$C$13*B135+$C$14</f>
        <v/>
      </c>
      <c r="E135" s="41" t="inlineStr">
        <is>
          <t>2回目（本掃引）</t>
        </is>
      </c>
    </row>
    <row r="136">
      <c r="B136" s="26" t="n">
        <v>700</v>
      </c>
      <c r="C136" s="40" t="n">
        <v>0.0061</v>
      </c>
      <c r="D136" s="22">
        <f>$C$12*B136^2+$C$13*B136+$C$14</f>
        <v/>
      </c>
      <c r="E136" s="41" t="inlineStr">
        <is>
          <t>2回目（本掃引）</t>
        </is>
      </c>
    </row>
    <row r="137">
      <c r="B137" s="26" t="n">
        <v>701</v>
      </c>
      <c r="C137" s="40" t="n">
        <v>0.0064</v>
      </c>
      <c r="D137" s="22">
        <f>$C$12*B137^2+$C$13*B137+$C$14</f>
        <v/>
      </c>
      <c r="E137" s="41" t="inlineStr">
        <is>
          <t>2回目（本掃引）</t>
        </is>
      </c>
    </row>
    <row r="138">
      <c r="B138" s="26" t="n">
        <v>702</v>
      </c>
      <c r="C138" s="40" t="n">
        <v>0.0067</v>
      </c>
      <c r="D138" s="22">
        <f>$C$12*B138^2+$C$13*B138+$C$14</f>
        <v/>
      </c>
      <c r="E138" s="41" t="inlineStr">
        <is>
          <t>2回目（本掃引）</t>
        </is>
      </c>
    </row>
    <row r="139">
      <c r="B139" s="26" t="n">
        <v>703</v>
      </c>
      <c r="C139" s="40" t="n">
        <v>0.0069</v>
      </c>
      <c r="D139" s="22">
        <f>$C$12*B139^2+$C$13*B139+$C$14</f>
        <v/>
      </c>
      <c r="E139" s="41" t="inlineStr">
        <is>
          <t>2回目（本掃引）</t>
        </is>
      </c>
    </row>
    <row r="140">
      <c r="B140" s="26" t="n">
        <v>704</v>
      </c>
      <c r="C140" s="40" t="n">
        <v>0.0072</v>
      </c>
      <c r="D140" s="22">
        <f>$C$12*B140^2+$C$13*B140+$C$14</f>
        <v/>
      </c>
      <c r="E140" s="41" t="inlineStr">
        <is>
          <t>2回目（本掃引）</t>
        </is>
      </c>
    </row>
    <row r="141">
      <c r="B141" s="26" t="n">
        <v>705</v>
      </c>
      <c r="C141" s="40" t="n">
        <v>0.0075</v>
      </c>
      <c r="D141" s="22">
        <f>$C$12*B141^2+$C$13*B141+$C$14</f>
        <v/>
      </c>
      <c r="E141" s="41" t="inlineStr">
        <is>
          <t>2回目（本掃引）</t>
        </is>
      </c>
    </row>
    <row r="142">
      <c r="B142" s="26" t="n">
        <v>706</v>
      </c>
      <c r="C142" s="40" t="n">
        <v>0.0072</v>
      </c>
      <c r="D142" s="22">
        <f>$C$12*B142^2+$C$13*B142+$C$14</f>
        <v/>
      </c>
      <c r="E142" s="41" t="inlineStr">
        <is>
          <t>2回目（本掃引）</t>
        </is>
      </c>
    </row>
    <row r="143">
      <c r="B143" s="26" t="n">
        <v>707</v>
      </c>
      <c r="C143" s="40" t="n">
        <v>0.0071</v>
      </c>
      <c r="D143" s="22">
        <f>$C$12*B143^2+$C$13*B143+$C$14</f>
        <v/>
      </c>
      <c r="E143" s="41" t="inlineStr">
        <is>
          <t>2回目（本掃引）</t>
        </is>
      </c>
    </row>
    <row r="144">
      <c r="B144" s="26" t="n">
        <v>708</v>
      </c>
      <c r="C144" s="40" t="n">
        <v>0.007</v>
      </c>
      <c r="D144" s="22">
        <f>$C$12*B144^2+$C$13*B144+$C$14</f>
        <v/>
      </c>
      <c r="E144" s="41" t="inlineStr">
        <is>
          <t>2回目（本掃引）</t>
        </is>
      </c>
    </row>
    <row r="145">
      <c r="B145" s="26" t="n">
        <v>710</v>
      </c>
      <c r="C145" s="40" t="n">
        <v>0.0067</v>
      </c>
      <c r="D145" s="22">
        <f>$C$12*B145^2+$C$13*B145+$C$14</f>
        <v/>
      </c>
      <c r="E145" s="41" t="inlineStr">
        <is>
          <t>2回目（本掃引）</t>
        </is>
      </c>
    </row>
    <row r="146">
      <c r="B146" s="26" t="n">
        <v>712</v>
      </c>
      <c r="C146" s="40" t="n">
        <v>0.0066</v>
      </c>
      <c r="D146" s="22">
        <f>$C$12*B146^2+$C$13*B146+$C$14</f>
        <v/>
      </c>
      <c r="E146" s="41" t="inlineStr">
        <is>
          <t>2回目（本掃引）</t>
        </is>
      </c>
    </row>
    <row r="147">
      <c r="B147" s="26" t="n">
        <v>714</v>
      </c>
      <c r="C147" s="40" t="n">
        <v>0.0065</v>
      </c>
      <c r="D147" s="22">
        <f>$C$12*B147^2+$C$13*B147+$C$14</f>
        <v/>
      </c>
      <c r="E147" s="41" t="inlineStr">
        <is>
          <t>2回目（本掃引）</t>
        </is>
      </c>
    </row>
    <row r="148">
      <c r="B148" s="26" t="n">
        <v>716</v>
      </c>
      <c r="C148" s="40" t="n">
        <v>0.0064</v>
      </c>
      <c r="D148" s="22">
        <f>$C$12*B148^2+$C$13*B148+$C$14</f>
        <v/>
      </c>
      <c r="E148" s="41" t="inlineStr">
        <is>
          <t>2回目（本掃引）</t>
        </is>
      </c>
    </row>
    <row r="149">
      <c r="B149" s="26" t="n">
        <v>718</v>
      </c>
      <c r="C149" s="40" t="n">
        <v>0.0063</v>
      </c>
      <c r="D149" s="22">
        <f>$C$12*B149^2+$C$13*B149+$C$14</f>
        <v/>
      </c>
      <c r="E149" s="41" t="inlineStr">
        <is>
          <t>2回目（本掃引）</t>
        </is>
      </c>
    </row>
    <row r="150">
      <c r="B150" s="26" t="n">
        <v>720</v>
      </c>
      <c r="C150" s="40" t="n">
        <v>0.0062</v>
      </c>
      <c r="D150" s="22">
        <f>$C$12*B150^2+$C$13*B150+$C$14</f>
        <v/>
      </c>
      <c r="E150" s="41" t="inlineStr">
        <is>
          <t>2回目（本掃引）</t>
        </is>
      </c>
    </row>
    <row r="151">
      <c r="B151" s="26" t="n">
        <v>722</v>
      </c>
      <c r="C151" s="40" t="n">
        <v>0.0061</v>
      </c>
      <c r="D151" s="22">
        <f>$C$12*B151^2+$C$13*B151+$C$14</f>
        <v/>
      </c>
      <c r="E151" s="41" t="inlineStr">
        <is>
          <t>2回目（本掃引）</t>
        </is>
      </c>
    </row>
    <row r="152">
      <c r="B152" s="26" t="n">
        <v>724</v>
      </c>
      <c r="C152" s="40" t="n">
        <v>0.0059</v>
      </c>
      <c r="D152" s="22">
        <f>$C$12*B152^2+$C$13*B152+$C$14</f>
        <v/>
      </c>
      <c r="E152" s="41" t="inlineStr">
        <is>
          <t>2回目（本掃引）</t>
        </is>
      </c>
    </row>
    <row r="153">
      <c r="B153" s="26" t="n">
        <v>726</v>
      </c>
      <c r="C153" s="40" t="n">
        <v>0.0056</v>
      </c>
      <c r="D153" s="22">
        <f>$C$12*B153^2+$C$13*B153+$C$14</f>
        <v/>
      </c>
      <c r="E153" s="41" t="inlineStr">
        <is>
          <t>2回目（本掃引）</t>
        </is>
      </c>
    </row>
    <row r="154">
      <c r="B154" s="26" t="n">
        <v>728</v>
      </c>
      <c r="C154" s="40" t="n">
        <v>0.0055</v>
      </c>
      <c r="D154" s="22">
        <f>$C$12*B154^2+$C$13*B154+$C$14</f>
        <v/>
      </c>
      <c r="E154" s="41" t="inlineStr">
        <is>
          <t>2回目（本掃引）</t>
        </is>
      </c>
    </row>
    <row r="155">
      <c r="B155" s="26" t="n">
        <v>730</v>
      </c>
      <c r="C155" s="40" t="n">
        <v>0.0055</v>
      </c>
      <c r="D155" s="22">
        <f>$C$12*B155^2+$C$13*B155+$C$14</f>
        <v/>
      </c>
      <c r="E155" s="41" t="inlineStr">
        <is>
          <t>2回目（本掃引）</t>
        </is>
      </c>
    </row>
    <row r="156">
      <c r="B156" s="26" t="n">
        <v>732</v>
      </c>
      <c r="C156" s="40" t="n">
        <v>0.0055</v>
      </c>
      <c r="D156" s="22">
        <f>$C$12*B156^2+$C$13*B156+$C$14</f>
        <v/>
      </c>
      <c r="E156" s="41" t="inlineStr">
        <is>
          <t>2回目（本掃引）</t>
        </is>
      </c>
    </row>
    <row r="157">
      <c r="B157" s="26" t="n">
        <v>734</v>
      </c>
      <c r="C157" s="40" t="n">
        <v>0.0057</v>
      </c>
      <c r="D157" s="22">
        <f>$C$12*B157^2+$C$13*B157+$C$14</f>
        <v/>
      </c>
      <c r="E157" s="41" t="inlineStr">
        <is>
          <t>2回目（本掃引）</t>
        </is>
      </c>
    </row>
    <row r="158">
      <c r="B158" s="26" t="n">
        <v>736</v>
      </c>
      <c r="C158" s="40" t="n">
        <v>0.0058</v>
      </c>
      <c r="D158" s="22">
        <f>$C$12*B158^2+$C$13*B158+$C$14</f>
        <v/>
      </c>
      <c r="E158" s="41" t="inlineStr">
        <is>
          <t>2回目（本掃引）</t>
        </is>
      </c>
    </row>
    <row r="159">
      <c r="B159" s="26" t="n">
        <v>738</v>
      </c>
      <c r="C159" s="40" t="n">
        <v>0.0059</v>
      </c>
      <c r="D159" s="22">
        <f>$C$12*B159^2+$C$13*B159+$C$14</f>
        <v/>
      </c>
      <c r="E159" s="41" t="inlineStr">
        <is>
          <t>2回目（本掃引）</t>
        </is>
      </c>
    </row>
    <row r="160">
      <c r="B160" s="26" t="n">
        <v>740</v>
      </c>
      <c r="C160" s="40" t="n">
        <v>0.0056</v>
      </c>
      <c r="D160" s="22">
        <f>$C$12*B160^2+$C$13*B160+$C$14</f>
        <v/>
      </c>
      <c r="E160" s="41" t="inlineStr">
        <is>
          <t>2回目（本掃引）</t>
        </is>
      </c>
    </row>
    <row r="161">
      <c r="B161" s="26" t="n">
        <v>741</v>
      </c>
      <c r="C161" s="40" t="n">
        <v>0.0054</v>
      </c>
      <c r="D161" s="22">
        <f>$C$12*B161^2+$C$13*B161+$C$14</f>
        <v/>
      </c>
      <c r="E161" s="41" t="inlineStr">
        <is>
          <t>2回目（本掃引）</t>
        </is>
      </c>
    </row>
    <row r="162">
      <c r="B162" s="26" t="n">
        <v>742</v>
      </c>
      <c r="C162" s="40" t="n">
        <v>0.0054</v>
      </c>
      <c r="D162" s="22">
        <f>$C$12*B162^2+$C$13*B162+$C$14</f>
        <v/>
      </c>
      <c r="E162" s="41" t="inlineStr">
        <is>
          <t>2回目（本掃引）</t>
        </is>
      </c>
    </row>
    <row r="163">
      <c r="B163" s="26" t="n">
        <v>743</v>
      </c>
      <c r="C163" s="40" t="n">
        <v>0.0054</v>
      </c>
      <c r="D163" s="22">
        <f>$C$12*B163^2+$C$13*B163+$C$14</f>
        <v/>
      </c>
      <c r="E163" s="41" t="inlineStr">
        <is>
          <t>2回目（本掃引）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K39"/>
  <sheetViews>
    <sheetView showGridLines="0" workbookViewId="0">
      <selection activeCell="A1" sqref="A1"/>
    </sheetView>
  </sheetViews>
  <sheetFormatPr baseColWidth="8" defaultRowHeight="15"/>
  <cols>
    <col width="2" customWidth="1" style="4" min="1" max="1"/>
    <col width="11" customWidth="1" style="4" min="2" max="2"/>
    <col width="14" customWidth="1" style="4" min="3" max="3"/>
    <col width="3" customWidth="1" style="4" min="4" max="4"/>
    <col width="11" customWidth="1" style="4" min="5" max="5"/>
    <col width="14" customWidth="1" style="4" min="6" max="6"/>
    <col width="3" customWidth="1" style="4" min="7" max="7"/>
    <col width="22" customWidth="1" style="4" min="8" max="8"/>
    <col width="16" customWidth="1" style="4" min="9" max="9"/>
    <col width="16" customWidth="1" style="4" min="10" max="10"/>
    <col width="70" customWidth="1" style="4" min="11" max="11"/>
  </cols>
  <sheetData>
    <row r="1">
      <c r="B1" s="5" t="inlineStr">
        <is>
          <t>実験3-3　スペクトル分解能測定（Cd 緑線 508.582 nm）</t>
        </is>
      </c>
    </row>
    <row r="2">
      <c r="B2" s="18" t="inlineStr">
        <is>
          <t>実験3-2 で最も強かった緑線について，入射スリット幅を変えて同じ輝線を掃引した。半値幅は背景を差し引いた最大値の 1/2 の高さでの幅（線形内挿）。λ は実験3-2 の校正曲線で換算。</t>
        </is>
      </c>
    </row>
    <row r="3">
      <c r="B3" s="18" t="inlineStr">
        <is>
          <t>黄色＝要確認。1 mm のデータは x=605〜660 しか無く，背景（遠方のベースライン）が測られていない。</t>
        </is>
      </c>
    </row>
    <row r="5" ht="18" customHeight="1" s="4">
      <c r="B5" s="19" t="inlineStr">
        <is>
          <t>x [目盛]</t>
        </is>
      </c>
      <c r="C5" s="19" t="inlineStr">
        <is>
          <t>I [V]（0.1 mm）</t>
        </is>
      </c>
      <c r="E5" s="19" t="inlineStr">
        <is>
          <t>x [目盛]</t>
        </is>
      </c>
      <c r="F5" s="19" t="inlineStr">
        <is>
          <t>I [V]（1 mm）</t>
        </is>
      </c>
      <c r="H5" s="6" t="inlineStr">
        <is>
          <t>解析</t>
        </is>
      </c>
    </row>
    <row r="6" ht="18" customHeight="1" s="4">
      <c r="B6" s="26" t="n">
        <v>625</v>
      </c>
      <c r="C6" s="40" t="n">
        <v>0.0059</v>
      </c>
      <c r="E6" s="26" t="n">
        <v>605</v>
      </c>
      <c r="F6" s="40" t="n">
        <v>0.0066</v>
      </c>
      <c r="H6" s="19" t="inlineStr">
        <is>
          <t>項目</t>
        </is>
      </c>
      <c r="I6" s="19" t="inlineStr">
        <is>
          <t>スリット 0.1 mm</t>
        </is>
      </c>
      <c r="J6" s="19" t="inlineStr">
        <is>
          <t>スリット 1 mm</t>
        </is>
      </c>
    </row>
    <row r="7">
      <c r="B7" s="26" t="n">
        <v>626</v>
      </c>
      <c r="C7" s="40" t="n">
        <v>0.0062</v>
      </c>
      <c r="E7" s="26" t="n">
        <v>610</v>
      </c>
      <c r="F7" s="40" t="n">
        <v>0.0072</v>
      </c>
      <c r="H7" s="21" t="inlineStr">
        <is>
          <t>背景 I_b [V]</t>
        </is>
      </c>
      <c r="I7" s="43" t="n">
        <v>0.0049</v>
      </c>
      <c r="J7" s="43" t="n">
        <v>0.0067</v>
      </c>
      <c r="K7" s="18" t="inlineStr">
        <is>
          <t>0.1 mm は x=500〜600 の平坦部。1 mm は掃引両端(605, 660)の平均 → 遠方の背景は未測定なので暫定値</t>
        </is>
      </c>
    </row>
    <row r="8">
      <c r="B8" s="26" t="n">
        <v>627</v>
      </c>
      <c r="C8" s="40" t="n">
        <v>0.0065</v>
      </c>
      <c r="E8" s="26" t="n">
        <v>615</v>
      </c>
      <c r="F8" s="40" t="n">
        <v>0.008200000000000001</v>
      </c>
      <c r="H8" s="21" t="inlineStr">
        <is>
          <t>ピーク I_p [V]</t>
        </is>
      </c>
      <c r="I8" s="33">
        <f>MAX($C$6:$C$36)</f>
        <v/>
      </c>
      <c r="J8" s="33">
        <f>MAX($F$6:$F$17)</f>
        <v/>
      </c>
    </row>
    <row r="9">
      <c r="B9" s="26" t="n">
        <v>628</v>
      </c>
      <c r="C9" s="40" t="n">
        <v>0.0069</v>
      </c>
      <c r="E9" s="26" t="n">
        <v>620</v>
      </c>
      <c r="F9" s="40" t="n">
        <v>0.0123</v>
      </c>
      <c r="H9" s="21" t="inlineStr">
        <is>
          <t>ピーク位置 x_p [目盛]</t>
        </is>
      </c>
      <c r="I9" s="42">
        <f>INDEX($B$6:$B$36,MATCH(I8,$C$6:$C$36,0))</f>
        <v/>
      </c>
      <c r="J9" s="42">
        <f>INDEX($E$6:$E$17,MATCH(J8,$F$6:$F$17,0))</f>
        <v/>
      </c>
    </row>
    <row r="10">
      <c r="B10" s="26" t="n">
        <v>629</v>
      </c>
      <c r="C10" s="40" t="n">
        <v>0.0074</v>
      </c>
      <c r="E10" s="26" t="n">
        <v>625</v>
      </c>
      <c r="F10" s="40" t="n">
        <v>0.0148</v>
      </c>
      <c r="H10" s="21" t="inlineStr">
        <is>
          <t>半値 I_h [V]</t>
        </is>
      </c>
      <c r="I10" s="33">
        <f>I7+(I8-I7)/2</f>
        <v/>
      </c>
      <c r="J10" s="33">
        <f>J7+(J8-J7)/2</f>
        <v/>
      </c>
    </row>
    <row r="11">
      <c r="B11" s="26" t="n">
        <v>630</v>
      </c>
      <c r="C11" s="40" t="n">
        <v>0.008</v>
      </c>
      <c r="E11" s="26" t="n">
        <v>630</v>
      </c>
      <c r="F11" s="40" t="n">
        <v>0.0159</v>
      </c>
      <c r="H11" s="21" t="inlineStr">
        <is>
          <t>左交点 x_L [目盛]</t>
        </is>
      </c>
      <c r="I11" s="22">
        <f>B8+(I10-C8)*(B9-B8)/(C9-C8)</f>
        <v/>
      </c>
      <c r="J11" s="22">
        <f>E8+(J10-F8)*(E9-E8)/(F9-F8)</f>
        <v/>
      </c>
      <c r="K11" s="18" t="inlineStr">
        <is>
          <t>線形内挿の区間：0.1mm は x=627→628，1mm は x=615→620。交点は読み取りの刻み幅のため ±1 目盛（約 0.4 nm）の不確かさがある</t>
        </is>
      </c>
    </row>
    <row r="12">
      <c r="B12" s="26" t="n">
        <v>631</v>
      </c>
      <c r="C12" s="40" t="n">
        <v>0.0081</v>
      </c>
      <c r="E12" s="26" t="n">
        <v>635</v>
      </c>
      <c r="F12" s="40" t="n">
        <v>0.0162</v>
      </c>
      <c r="H12" s="21" t="inlineStr">
        <is>
          <t>右交点 x_R [目盛]</t>
        </is>
      </c>
      <c r="I12" s="22">
        <f>B19+(I10-C19)*(B20-B19)/(C20-C19)</f>
        <v/>
      </c>
      <c r="J12" s="22">
        <f>E14+(J10-F14)*(E15-E14)/(F15-F14)</f>
        <v/>
      </c>
      <c r="K12" s="18" t="inlineStr">
        <is>
          <t>線形内挿の区間：0.1mm は x=638→639，1mm は x=645→650。0.1mm では x=639 と 640 が同値のため右交点には ±1 目盛の幅がある</t>
        </is>
      </c>
    </row>
    <row r="13">
      <c r="B13" s="26" t="n">
        <v>632</v>
      </c>
      <c r="C13" s="40" t="n">
        <v>0.0083</v>
      </c>
      <c r="E13" s="26" t="n">
        <v>640</v>
      </c>
      <c r="F13" s="40" t="n">
        <v>0.0156</v>
      </c>
      <c r="H13" s="21" t="inlineStr">
        <is>
          <t>半値幅 Δx [目盛]</t>
        </is>
      </c>
      <c r="I13" s="22">
        <f>I12-I11</f>
        <v/>
      </c>
      <c r="J13" s="22">
        <f>J12-J11</f>
        <v/>
      </c>
    </row>
    <row r="14">
      <c r="B14" s="26" t="n">
        <v>633</v>
      </c>
      <c r="C14" s="40" t="n">
        <v>0.008200000000000001</v>
      </c>
      <c r="E14" s="26" t="n">
        <v>645</v>
      </c>
      <c r="F14" s="40" t="n">
        <v>0.0132</v>
      </c>
      <c r="H14" s="21" t="inlineStr">
        <is>
          <t>半値幅 Δλ [nm]</t>
        </is>
      </c>
      <c r="I14" s="27">
        <f>ABS(('実験3-2_波長校正'!C$12*I11^2+'実験3-2_波長校正'!C$13*I11+'実験3-2_波長校正'!C$14)-('実験3-2_波長校正'!C$12*I12^2+'実験3-2_波長校正'!C$13*I12+'実験3-2_波長校正'!C$14))</f>
        <v/>
      </c>
      <c r="J14" s="27">
        <f>ABS(('実験3-2_波長校正'!C$12*J11^2+'実験3-2_波長校正'!C$13*J11+'実験3-2_波長校正'!C$14)-('実験3-2_波長校正'!C$12*J12^2+'実験3-2_波長校正'!C$13*J12+'実験3-2_波長校正'!C$14))</f>
        <v/>
      </c>
    </row>
    <row r="15">
      <c r="B15" s="26" t="n">
        <v>634</v>
      </c>
      <c r="C15" s="40" t="n">
        <v>0.0089</v>
      </c>
      <c r="E15" s="26" t="n">
        <v>650</v>
      </c>
      <c r="F15" s="40" t="n">
        <v>0.0104</v>
      </c>
      <c r="H15" s="21" t="inlineStr">
        <is>
          <t>ピーク波長 [nm]</t>
        </is>
      </c>
      <c r="I15" s="22">
        <f>'実験3-2_波長校正'!C$12*I9^2+'実験3-2_波長校正'!C$13*I9+'実験3-2_波長校正'!C$14</f>
        <v/>
      </c>
      <c r="J15" s="22">
        <f>'実験3-2_波長校正'!C$12*J9^2+'実験3-2_波長校正'!C$13*J9+'実験3-2_波長校正'!C$14</f>
        <v/>
      </c>
    </row>
    <row r="16">
      <c r="B16" s="26" t="n">
        <v>635</v>
      </c>
      <c r="C16" s="40" t="n">
        <v>0.0077</v>
      </c>
      <c r="E16" s="26" t="n">
        <v>655</v>
      </c>
      <c r="F16" s="40" t="n">
        <v>0.008200000000000001</v>
      </c>
    </row>
    <row r="17">
      <c r="B17" s="26" t="n">
        <v>636</v>
      </c>
      <c r="C17" s="40" t="n">
        <v>0.0074</v>
      </c>
      <c r="E17" s="26" t="n">
        <v>660</v>
      </c>
      <c r="F17" s="40" t="n">
        <v>0.0068</v>
      </c>
      <c r="H17" s="6" t="inlineStr">
        <is>
          <t>まとめ（報告書の表）</t>
        </is>
      </c>
    </row>
    <row r="18" ht="18" customHeight="1" s="4">
      <c r="B18" s="26" t="n">
        <v>637</v>
      </c>
      <c r="C18" s="40" t="n">
        <v>0.0073</v>
      </c>
      <c r="H18" s="19" t="inlineStr">
        <is>
          <t>入射スリット幅 [µm]</t>
        </is>
      </c>
      <c r="I18" s="19" t="inlineStr">
        <is>
          <t>ピーク値 [V]</t>
        </is>
      </c>
      <c r="J18" s="19" t="inlineStr">
        <is>
          <t>半値幅 [nm]</t>
        </is>
      </c>
    </row>
    <row r="19">
      <c r="B19" s="26" t="n">
        <v>638</v>
      </c>
      <c r="C19" s="40" t="n">
        <v>0.007</v>
      </c>
      <c r="H19" s="26" t="n">
        <v>100</v>
      </c>
      <c r="I19" s="33">
        <f>I8</f>
        <v/>
      </c>
      <c r="J19" s="27">
        <f>I14</f>
        <v/>
      </c>
      <c r="K19" s="18" t="inlineStr">
        <is>
          <t>講義は 200〜1000 µm の範囲を指示しているが，実際は 100 µm と 1000 µm の 2 点。報告書にその旨を書く。</t>
        </is>
      </c>
    </row>
    <row r="20">
      <c r="B20" s="26" t="n">
        <v>639</v>
      </c>
      <c r="C20" s="40" t="n">
        <v>0.0069</v>
      </c>
      <c r="H20" s="26" t="n">
        <v>1000</v>
      </c>
      <c r="I20" s="33">
        <f>J8</f>
        <v/>
      </c>
      <c r="J20" s="27">
        <f>J14</f>
        <v/>
      </c>
    </row>
    <row r="21">
      <c r="B21" s="26" t="n">
        <v>640</v>
      </c>
      <c r="C21" s="40" t="n">
        <v>0.0069</v>
      </c>
    </row>
    <row r="22">
      <c r="B22" s="26" t="n">
        <v>641</v>
      </c>
      <c r="C22" s="40" t="n">
        <v>0.0068</v>
      </c>
    </row>
    <row r="23">
      <c r="B23" s="26" t="n">
        <v>642</v>
      </c>
      <c r="C23" s="40" t="n">
        <v>0.0067</v>
      </c>
    </row>
    <row r="24">
      <c r="B24" s="26" t="n">
        <v>643</v>
      </c>
      <c r="C24" s="40" t="n">
        <v>0.0067</v>
      </c>
    </row>
    <row r="25">
      <c r="B25" s="26" t="n">
        <v>644</v>
      </c>
      <c r="C25" s="40" t="n">
        <v>0.0066</v>
      </c>
    </row>
    <row r="26">
      <c r="B26" s="26" t="n">
        <v>645</v>
      </c>
      <c r="C26" s="40" t="n">
        <v>0.0064</v>
      </c>
    </row>
    <row r="27">
      <c r="B27" s="26" t="n">
        <v>646</v>
      </c>
      <c r="C27" s="40" t="n">
        <v>0.0064</v>
      </c>
    </row>
    <row r="28">
      <c r="B28" s="26" t="n">
        <v>647</v>
      </c>
      <c r="C28" s="40" t="n">
        <v>0.0063</v>
      </c>
    </row>
    <row r="29">
      <c r="B29" s="26" t="n">
        <v>648</v>
      </c>
      <c r="C29" s="40" t="n">
        <v>0.0062</v>
      </c>
    </row>
    <row r="30">
      <c r="B30" s="26" t="n">
        <v>649</v>
      </c>
      <c r="C30" s="40" t="n">
        <v>0.006</v>
      </c>
    </row>
    <row r="31">
      <c r="B31" s="26" t="n">
        <v>650</v>
      </c>
      <c r="C31" s="40" t="n">
        <v>0.006</v>
      </c>
    </row>
    <row r="32">
      <c r="B32" s="26" t="n">
        <v>651</v>
      </c>
      <c r="C32" s="40" t="n">
        <v>0.0058</v>
      </c>
    </row>
    <row r="33">
      <c r="B33" s="26" t="n">
        <v>652</v>
      </c>
      <c r="C33" s="40" t="n">
        <v>0.0056</v>
      </c>
    </row>
    <row r="34">
      <c r="B34" s="26" t="n">
        <v>653</v>
      </c>
      <c r="C34" s="40" t="n">
        <v>0.0055</v>
      </c>
    </row>
    <row r="35">
      <c r="B35" s="26" t="n">
        <v>654</v>
      </c>
      <c r="C35" s="40" t="n">
        <v>0.0053</v>
      </c>
    </row>
    <row r="36">
      <c r="B36" s="26" t="n">
        <v>655</v>
      </c>
      <c r="C36" s="40" t="n">
        <v>0.0051</v>
      </c>
    </row>
    <row r="39">
      <c r="B39" s="18" t="inlineStr">
        <is>
          <t>※ 2 点しかないため直線の当てはめは行わない。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1:I83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style="4" min="1" max="1"/>
    <col width="11" customWidth="1" style="4" min="2" max="2"/>
    <col width="12" customWidth="1" style="4" min="3" max="3"/>
    <col width="12" customWidth="1" style="4" min="4" max="4"/>
    <col width="3" customWidth="1" style="4" min="5" max="5"/>
    <col width="24" customWidth="1" style="4" min="6" max="6"/>
    <col width="15" customWidth="1" style="4" min="7" max="7"/>
    <col width="15" customWidth="1" style="4" min="8" max="8"/>
    <col width="62" customWidth="1" style="4" min="9" max="9"/>
  </cols>
  <sheetData>
    <row r="1">
      <c r="B1" s="5" t="inlineStr">
        <is>
          <t>実験3-4　白色 LED のスペクトル測定</t>
        </is>
      </c>
    </row>
    <row r="2">
      <c r="B2" s="18" t="inlineStr">
        <is>
          <t>実験3-2 の校正曲線 λ = A x² + B x + C で x を波長に換算した。入射スリット幅 0.1 mm。</t>
        </is>
      </c>
    </row>
    <row r="3">
      <c r="B3" s="18" t="inlineStr">
        <is>
          <t>講義は 350〜800 nm の測定を指示しているが，実測範囲は下の「測定範囲」の通り。報告書にその旨を書く。</t>
        </is>
      </c>
    </row>
    <row r="5">
      <c r="F5" s="6" t="inlineStr">
        <is>
          <t>解析</t>
        </is>
      </c>
    </row>
    <row r="6">
      <c r="F6" s="21" t="inlineStr">
        <is>
          <t>測定範囲 [nm]</t>
        </is>
      </c>
      <c r="G6" s="44">
        <f>TEXT(MIN(D10:D83),"0")&amp;" 〜 "&amp;TEXT(MAX(D10:D83),"0")</f>
        <v/>
      </c>
    </row>
    <row r="7">
      <c r="F7" s="21" t="inlineStr">
        <is>
          <t>発光帯ピーク I [V]</t>
        </is>
      </c>
      <c r="G7" s="33">
        <f>MAX(C10:C83)</f>
        <v/>
      </c>
      <c r="H7" s="18" t="inlineStr">
        <is>
          <t>蛍光体による広帯域</t>
        </is>
      </c>
    </row>
    <row r="8">
      <c r="F8" s="21" t="inlineStr">
        <is>
          <t>発光帯ピーク波長 [nm]</t>
        </is>
      </c>
      <c r="G8" s="22">
        <f>INDEX(D10:D83,MATCH(MAX(C10:C83),C10:C83,0))</f>
        <v/>
      </c>
    </row>
    <row r="9" ht="18" customHeight="1" s="4">
      <c r="B9" s="19" t="inlineStr">
        <is>
          <t>x [目盛]</t>
        </is>
      </c>
      <c r="C9" s="19" t="inlineStr">
        <is>
          <t>I [V]</t>
        </is>
      </c>
      <c r="D9" s="19" t="inlineStr">
        <is>
          <t>λ [nm]</t>
        </is>
      </c>
      <c r="F9" s="21" t="inlineStr">
        <is>
          <t>青色ピーク I [V]</t>
        </is>
      </c>
      <c r="G9" s="33">
        <f>MAX(C50:C83)</f>
        <v/>
      </c>
      <c r="H9" s="18" t="inlineStr">
        <is>
          <t>LED チップ自身の発光（x≧740 の範囲で探索）</t>
        </is>
      </c>
    </row>
    <row r="10">
      <c r="B10" s="26" t="n">
        <v>200</v>
      </c>
      <c r="C10" s="40" t="n">
        <v>0.06900000000000001</v>
      </c>
      <c r="D10" s="22">
        <f>'実験3-2_波長校正'!C$12*B10^2+'実験3-2_波長校正'!C$13*B10+'実験3-2_波長校正'!C$14</f>
        <v/>
      </c>
      <c r="F10" s="21" t="inlineStr">
        <is>
          <t>青色ピーク波長 [nm]</t>
        </is>
      </c>
      <c r="G10" s="22">
        <f>INDEX(D50:D83,MATCH(MAX(C50:C83),C50:C83,0))</f>
        <v/>
      </c>
    </row>
    <row r="11">
      <c r="B11" s="26" t="n">
        <v>225</v>
      </c>
      <c r="C11" s="40" t="n">
        <v>0.0815</v>
      </c>
      <c r="D11" s="22">
        <f>'実験3-2_波長校正'!C$12*B11^2+'実験3-2_波長校正'!C$13*B11+'実験3-2_波長校正'!C$14</f>
        <v/>
      </c>
    </row>
    <row r="12">
      <c r="B12" s="26" t="n">
        <v>250</v>
      </c>
      <c r="C12" s="40" t="n">
        <v>0.09719999999999999</v>
      </c>
      <c r="D12" s="22">
        <f>'実験3-2_波長校正'!C$12*B12^2+'実験3-2_波長校正'!C$13*B12+'実験3-2_波長校正'!C$14</f>
        <v/>
      </c>
      <c r="F12" s="6" t="inlineStr">
        <is>
          <t>スペクトル幅（半値幅）</t>
        </is>
      </c>
    </row>
    <row r="13" ht="18" customHeight="1" s="4">
      <c r="B13" s="26" t="n">
        <v>275</v>
      </c>
      <c r="C13" s="40" t="n">
        <v>0.1134</v>
      </c>
      <c r="D13" s="22">
        <f>'実験3-2_波長校正'!C$12*B13^2+'実験3-2_波長校正'!C$13*B13+'実験3-2_波長校正'!C$14</f>
        <v/>
      </c>
      <c r="F13" s="19" t="inlineStr">
        <is>
          <t>項目</t>
        </is>
      </c>
      <c r="G13" s="19" t="inlineStr">
        <is>
          <t>長波長側の山</t>
        </is>
      </c>
      <c r="H13" s="19" t="inlineStr">
        <is>
          <t>短波長側の山</t>
        </is>
      </c>
    </row>
    <row r="14">
      <c r="B14" s="26" t="n">
        <v>300</v>
      </c>
      <c r="C14" s="40" t="n">
        <v>0.1317</v>
      </c>
      <c r="D14" s="22">
        <f>'実験3-2_波長校正'!C$12*B14^2+'実験3-2_波長校正'!C$13*B14+'実験3-2_波長校正'!C$14</f>
        <v/>
      </c>
      <c r="F14" s="21" t="inlineStr">
        <is>
          <t>背景 I_b [V]</t>
        </is>
      </c>
      <c r="G14" s="40" t="n">
        <v>0</v>
      </c>
      <c r="H14" s="43" t="n">
        <v>0.0312</v>
      </c>
      <c r="I14" s="18" t="inlineStr">
        <is>
          <t>長波長側は 0、短波長側は 2 つの山の谷（x=675, 700 の値）を背景とした</t>
        </is>
      </c>
    </row>
    <row r="15">
      <c r="B15" s="26" t="n">
        <v>325</v>
      </c>
      <c r="C15" s="40" t="n">
        <v>0.1485</v>
      </c>
      <c r="D15" s="22">
        <f>'実験3-2_波長校正'!C$12*B15^2+'実験3-2_波長校正'!C$13*B15+'実験3-2_波長校正'!C$14</f>
        <v/>
      </c>
      <c r="F15" s="21" t="inlineStr">
        <is>
          <t>ピーク I_p [V]</t>
        </is>
      </c>
      <c r="G15" s="33">
        <f>G7</f>
        <v/>
      </c>
      <c r="H15" s="33">
        <f>G9</f>
        <v/>
      </c>
    </row>
    <row r="16">
      <c r="B16" s="26" t="n">
        <v>350</v>
      </c>
      <c r="C16" s="40" t="n">
        <v>0.1655</v>
      </c>
      <c r="D16" s="22">
        <f>'実験3-2_波長校正'!C$12*B16^2+'実験3-2_波長校正'!C$13*B16+'実験3-2_波長校正'!C$14</f>
        <v/>
      </c>
      <c r="F16" s="21" t="inlineStr">
        <is>
          <t>半値 I_h [V]</t>
        </is>
      </c>
      <c r="G16" s="33">
        <f>G14+(G15-G14)/2</f>
        <v/>
      </c>
      <c r="H16" s="33">
        <f>H14+(H15-H14)/2</f>
        <v/>
      </c>
    </row>
    <row r="17">
      <c r="B17" s="26" t="n">
        <v>375</v>
      </c>
      <c r="C17" s="40" t="n">
        <v>0.1795</v>
      </c>
      <c r="D17" s="22">
        <f>'実験3-2_波長校正'!C$12*B17^2+'実験3-2_波長校正'!C$13*B17+'実験3-2_波長校正'!C$14</f>
        <v/>
      </c>
      <c r="F17" s="21" t="inlineStr">
        <is>
          <t>左交点 x_L [目盛]</t>
        </is>
      </c>
      <c r="G17" s="22">
        <f>B12+(G16-C12)*(B13-B12)/(C13-C12)</f>
        <v/>
      </c>
      <c r="H17" s="22">
        <f>B56+(H16-C56)*(B57-B56)/(C57-C56)</f>
        <v/>
      </c>
      <c r="I17" s="18" t="inlineStr">
        <is>
          <t>内挿区間：長波長側は x=250→275、短波長側は x=752→754</t>
        </is>
      </c>
    </row>
    <row r="18">
      <c r="B18" s="26" t="n">
        <v>400</v>
      </c>
      <c r="C18" s="40" t="n">
        <v>0.1903</v>
      </c>
      <c r="D18" s="22">
        <f>'実験3-2_波長校正'!C$12*B18^2+'実験3-2_波長校正'!C$13*B18+'実験3-2_波長校正'!C$14</f>
        <v/>
      </c>
      <c r="F18" s="21" t="inlineStr">
        <is>
          <t>右交点 x_R [目盛]</t>
        </is>
      </c>
      <c r="G18" s="22">
        <f>B26+(G16-C26)*(B27-B26)/(C27-C26)</f>
        <v/>
      </c>
      <c r="H18" s="22">
        <f>B74+(H16-C74)*(B75-B74)/(C75-C74)</f>
        <v/>
      </c>
      <c r="I18" s="18" t="inlineStr">
        <is>
          <t>内挿区間：長波長側は x=600→625、短波長側は x=795→800</t>
        </is>
      </c>
    </row>
    <row r="19">
      <c r="B19" s="26" t="n">
        <v>425</v>
      </c>
      <c r="C19" s="40" t="n">
        <v>0.1966</v>
      </c>
      <c r="D19" s="22">
        <f>'実験3-2_波長校正'!C$12*B19^2+'実験3-2_波長校正'!C$13*B19+'実験3-2_波長校正'!C$14</f>
        <v/>
      </c>
      <c r="F19" s="21" t="inlineStr">
        <is>
          <t>半値幅 Δλ [nm]</t>
        </is>
      </c>
      <c r="G19" s="42">
        <f>ABS(('実験3-2_波長校正'!C$12*G17^2+'実験3-2_波長校正'!C$13*G17+'実験3-2_波長校正'!C$14)-('実験3-2_波長校正'!C$12*G18^2+'実験3-2_波長校正'!C$13*G18+'実験3-2_波長校正'!C$14))</f>
        <v/>
      </c>
      <c r="H19" s="42">
        <f>ABS(('実験3-2_波長校正'!C$12*H17^2+'実験3-2_波長校正'!C$13*H17+'実験3-2_波長校正'!C$14)-('実験3-2_波長校正'!C$12*H18^2+'実験3-2_波長校正'!C$13*H18+'実験3-2_波長校正'!C$14))</f>
        <v/>
      </c>
    </row>
    <row r="20">
      <c r="B20" s="26" t="n">
        <v>450</v>
      </c>
      <c r="C20" s="40" t="n">
        <v>0.1988</v>
      </c>
      <c r="D20" s="22">
        <f>'実験3-2_波長校正'!C$12*B20^2+'実験3-2_波長校正'!C$13*B20+'実験3-2_波長校正'!C$14</f>
        <v/>
      </c>
    </row>
    <row r="21">
      <c r="B21" s="26" t="n">
        <v>475</v>
      </c>
      <c r="C21" s="40" t="n">
        <v>0.1965</v>
      </c>
      <c r="D21" s="22">
        <f>'実験3-2_波長校正'!C$12*B21^2+'実験3-2_波長校正'!C$13*B21+'実験3-2_波長校正'!C$14</f>
        <v/>
      </c>
    </row>
    <row r="22">
      <c r="B22" s="26" t="n">
        <v>500</v>
      </c>
      <c r="C22" s="40" t="n">
        <v>0.1894</v>
      </c>
      <c r="D22" s="22">
        <f>'実験3-2_波長校正'!C$12*B22^2+'実験3-2_波長校正'!C$13*B22+'実験3-2_波長校正'!C$14</f>
        <v/>
      </c>
    </row>
    <row r="23">
      <c r="B23" s="26" t="n">
        <v>525</v>
      </c>
      <c r="C23" s="40" t="n">
        <v>0.1784</v>
      </c>
      <c r="D23" s="22">
        <f>'実験3-2_波長校正'!C$12*B23^2+'実験3-2_波長校正'!C$13*B23+'実験3-2_波長校正'!C$14</f>
        <v/>
      </c>
    </row>
    <row r="24">
      <c r="B24" s="26" t="n">
        <v>550</v>
      </c>
      <c r="C24" s="40" t="n">
        <v>0.1623</v>
      </c>
      <c r="D24" s="22">
        <f>'実験3-2_波長校正'!C$12*B24^2+'実験3-2_波長校正'!C$13*B24+'実験3-2_波長校正'!C$14</f>
        <v/>
      </c>
    </row>
    <row r="25">
      <c r="B25" s="26" t="n">
        <v>575</v>
      </c>
      <c r="C25" s="40" t="n">
        <v>0.1412</v>
      </c>
      <c r="D25" s="22">
        <f>'実験3-2_波長校正'!C$12*B25^2+'実験3-2_波長校正'!C$13*B25+'実験3-2_波長校正'!C$14</f>
        <v/>
      </c>
    </row>
    <row r="26">
      <c r="B26" s="26" t="n">
        <v>600</v>
      </c>
      <c r="C26" s="40" t="n">
        <v>0.1109</v>
      </c>
      <c r="D26" s="22">
        <f>'実験3-2_波長校正'!C$12*B26^2+'実験3-2_波長校正'!C$13*B26+'実験3-2_波長校正'!C$14</f>
        <v/>
      </c>
    </row>
    <row r="27">
      <c r="B27" s="26" t="n">
        <v>625</v>
      </c>
      <c r="C27" s="40" t="n">
        <v>0.07779999999999999</v>
      </c>
      <c r="D27" s="22">
        <f>'実験3-2_波長校正'!C$12*B27^2+'実験3-2_波長校正'!C$13*B27+'実験3-2_波長校正'!C$14</f>
        <v/>
      </c>
    </row>
    <row r="28">
      <c r="B28" s="26" t="n">
        <v>650</v>
      </c>
      <c r="C28" s="40" t="n">
        <v>0.0472</v>
      </c>
      <c r="D28" s="22">
        <f>'実験3-2_波長校正'!C$12*B28^2+'実験3-2_波長校正'!C$13*B28+'実験3-2_波長校正'!C$14</f>
        <v/>
      </c>
    </row>
    <row r="29">
      <c r="B29" s="26" t="n">
        <v>675</v>
      </c>
      <c r="C29" s="40" t="n">
        <v>0.0312</v>
      </c>
      <c r="D29" s="22">
        <f>'実験3-2_波長校正'!C$12*B29^2+'実験3-2_波長校正'!C$13*B29+'実験3-2_波長校正'!C$14</f>
        <v/>
      </c>
    </row>
    <row r="30">
      <c r="B30" s="26" t="n">
        <v>700</v>
      </c>
      <c r="C30" s="40" t="n">
        <v>0.0312</v>
      </c>
      <c r="D30" s="22">
        <f>'実験3-2_波長校正'!C$12*B30^2+'実験3-2_波長校正'!C$13*B30+'実験3-2_波長校正'!C$14</f>
        <v/>
      </c>
    </row>
    <row r="31">
      <c r="B31" s="26" t="n">
        <v>702</v>
      </c>
      <c r="C31" s="40" t="n">
        <v>0.0316</v>
      </c>
      <c r="D31" s="22">
        <f>'実験3-2_波長校正'!C$12*B31^2+'実験3-2_波長校正'!C$13*B31+'実験3-2_波長校正'!C$14</f>
        <v/>
      </c>
    </row>
    <row r="32">
      <c r="B32" s="26" t="n">
        <v>704</v>
      </c>
      <c r="C32" s="40" t="n">
        <v>0.0325</v>
      </c>
      <c r="D32" s="22">
        <f>'実験3-2_波長校正'!C$12*B32^2+'実験3-2_波長校正'!C$13*B32+'実験3-2_波長校正'!C$14</f>
        <v/>
      </c>
    </row>
    <row r="33">
      <c r="B33" s="26" t="n">
        <v>706</v>
      </c>
      <c r="C33" s="40" t="n">
        <v>0.033</v>
      </c>
      <c r="D33" s="22">
        <f>'実験3-2_波長校正'!C$12*B33^2+'実験3-2_波長校正'!C$13*B33+'実験3-2_波長校正'!C$14</f>
        <v/>
      </c>
    </row>
    <row r="34">
      <c r="B34" s="26" t="n">
        <v>708</v>
      </c>
      <c r="C34" s="40" t="n">
        <v>0.0337</v>
      </c>
      <c r="D34" s="22">
        <f>'実験3-2_波長校正'!C$12*B34^2+'実験3-2_波長校正'!C$13*B34+'実験3-2_波長校正'!C$14</f>
        <v/>
      </c>
    </row>
    <row r="35">
      <c r="B35" s="26" t="n">
        <v>710</v>
      </c>
      <c r="C35" s="40" t="n">
        <v>0.0344</v>
      </c>
      <c r="D35" s="22">
        <f>'実験3-2_波長校正'!C$12*B35^2+'実験3-2_波長校正'!C$13*B35+'実験3-2_波長校正'!C$14</f>
        <v/>
      </c>
    </row>
    <row r="36">
      <c r="B36" s="26" t="n">
        <v>712</v>
      </c>
      <c r="C36" s="40" t="n">
        <v>0.0352</v>
      </c>
      <c r="D36" s="22">
        <f>'実験3-2_波長校正'!C$12*B36^2+'実験3-2_波長校正'!C$13*B36+'実験3-2_波長校正'!C$14</f>
        <v/>
      </c>
    </row>
    <row r="37">
      <c r="B37" s="26" t="n">
        <v>714</v>
      </c>
      <c r="C37" s="40" t="n">
        <v>0.0363</v>
      </c>
      <c r="D37" s="22">
        <f>'実験3-2_波長校正'!C$12*B37^2+'実験3-2_波長校正'!C$13*B37+'実験3-2_波長校正'!C$14</f>
        <v/>
      </c>
    </row>
    <row r="38">
      <c r="B38" s="26" t="n">
        <v>716</v>
      </c>
      <c r="C38" s="40" t="n">
        <v>0.0375</v>
      </c>
      <c r="D38" s="22">
        <f>'実験3-2_波長校正'!C$12*B38^2+'実験3-2_波長校正'!C$13*B38+'実験3-2_波長校正'!C$14</f>
        <v/>
      </c>
    </row>
    <row r="39">
      <c r="B39" s="26" t="n">
        <v>718</v>
      </c>
      <c r="C39" s="40" t="n">
        <v>0.0388</v>
      </c>
      <c r="D39" s="22">
        <f>'実験3-2_波長校正'!C$12*B39^2+'実験3-2_波長校正'!C$13*B39+'実験3-2_波長校正'!C$14</f>
        <v/>
      </c>
    </row>
    <row r="40">
      <c r="B40" s="26" t="n">
        <v>720</v>
      </c>
      <c r="C40" s="40" t="n">
        <v>0.0402</v>
      </c>
      <c r="D40" s="22">
        <f>'実験3-2_波長校正'!C$12*B40^2+'実験3-2_波長校正'!C$13*B40+'実験3-2_波長校正'!C$14</f>
        <v/>
      </c>
    </row>
    <row r="41">
      <c r="B41" s="26" t="n">
        <v>722</v>
      </c>
      <c r="C41" s="40" t="n">
        <v>0.042</v>
      </c>
      <c r="D41" s="22">
        <f>'実験3-2_波長校正'!C$12*B41^2+'実験3-2_波長校正'!C$13*B41+'実験3-2_波長校正'!C$14</f>
        <v/>
      </c>
    </row>
    <row r="42">
      <c r="B42" s="26" t="n">
        <v>724</v>
      </c>
      <c r="C42" s="40" t="n">
        <v>0.0438</v>
      </c>
      <c r="D42" s="22">
        <f>'実験3-2_波長校正'!C$12*B42^2+'実験3-2_波長校正'!C$13*B42+'実験3-2_波長校正'!C$14</f>
        <v/>
      </c>
    </row>
    <row r="43">
      <c r="B43" s="26" t="n">
        <v>726</v>
      </c>
      <c r="C43" s="40" t="n">
        <v>0.0456</v>
      </c>
      <c r="D43" s="22">
        <f>'実験3-2_波長校正'!C$12*B43^2+'実験3-2_波長校正'!C$13*B43+'実験3-2_波長校正'!C$14</f>
        <v/>
      </c>
    </row>
    <row r="44">
      <c r="B44" s="26" t="n">
        <v>728</v>
      </c>
      <c r="C44" s="40" t="n">
        <v>0.0475</v>
      </c>
      <c r="D44" s="22">
        <f>'実験3-2_波長校正'!C$12*B44^2+'実験3-2_波長校正'!C$13*B44+'実験3-2_波長校正'!C$14</f>
        <v/>
      </c>
    </row>
    <row r="45">
      <c r="B45" s="26" t="n">
        <v>730</v>
      </c>
      <c r="C45" s="40" t="n">
        <v>0.0497</v>
      </c>
      <c r="D45" s="22">
        <f>'実験3-2_波長校正'!C$12*B45^2+'実験3-2_波長校正'!C$13*B45+'実験3-2_波長校正'!C$14</f>
        <v/>
      </c>
    </row>
    <row r="46">
      <c r="B46" s="26" t="n">
        <v>732</v>
      </c>
      <c r="C46" s="40" t="n">
        <v>0.0522</v>
      </c>
      <c r="D46" s="22">
        <f>'実験3-2_波長校正'!C$12*B46^2+'実験3-2_波長校正'!C$13*B46+'実験3-2_波長校正'!C$14</f>
        <v/>
      </c>
    </row>
    <row r="47">
      <c r="B47" s="26" t="n">
        <v>734</v>
      </c>
      <c r="C47" s="40" t="n">
        <v>0.0546</v>
      </c>
      <c r="D47" s="22">
        <f>'実験3-2_波長校正'!C$12*B47^2+'実験3-2_波長校正'!C$13*B47+'実験3-2_波長校正'!C$14</f>
        <v/>
      </c>
    </row>
    <row r="48">
      <c r="B48" s="26" t="n">
        <v>736</v>
      </c>
      <c r="C48" s="40" t="n">
        <v>0.057</v>
      </c>
      <c r="D48" s="22">
        <f>'実験3-2_波長校正'!C$12*B48^2+'実験3-2_波長校正'!C$13*B48+'実験3-2_波長校正'!C$14</f>
        <v/>
      </c>
    </row>
    <row r="49">
      <c r="B49" s="26" t="n">
        <v>738</v>
      </c>
      <c r="C49" s="40" t="n">
        <v>0.0593</v>
      </c>
      <c r="D49" s="22">
        <f>'実験3-2_波長校正'!C$12*B49^2+'実験3-2_波長校正'!C$13*B49+'実験3-2_波長校正'!C$14</f>
        <v/>
      </c>
    </row>
    <row r="50">
      <c r="B50" s="26" t="n">
        <v>740</v>
      </c>
      <c r="C50" s="40" t="n">
        <v>0.062</v>
      </c>
      <c r="D50" s="22">
        <f>'実験3-2_波長校正'!C$12*B50^2+'実験3-2_波長校正'!C$13*B50+'実験3-2_波長校正'!C$14</f>
        <v/>
      </c>
    </row>
    <row r="51">
      <c r="B51" s="26" t="n">
        <v>742</v>
      </c>
      <c r="C51" s="40" t="n">
        <v>0.0645</v>
      </c>
      <c r="D51" s="22">
        <f>'実験3-2_波長校正'!C$12*B51^2+'実験3-2_波長校正'!C$13*B51+'実験3-2_波長校正'!C$14</f>
        <v/>
      </c>
    </row>
    <row r="52">
      <c r="B52" s="26" t="n">
        <v>744</v>
      </c>
      <c r="C52" s="40" t="n">
        <v>0.0673</v>
      </c>
      <c r="D52" s="22">
        <f>'実験3-2_波長校正'!C$12*B52^2+'実験3-2_波長校正'!C$13*B52+'実験3-2_波長校正'!C$14</f>
        <v/>
      </c>
    </row>
    <row r="53">
      <c r="B53" s="26" t="n">
        <v>746</v>
      </c>
      <c r="C53" s="40" t="n">
        <v>0.07000000000000001</v>
      </c>
      <c r="D53" s="22">
        <f>'実験3-2_波長校正'!C$12*B53^2+'実験3-2_波長校正'!C$13*B53+'実験3-2_波長校正'!C$14</f>
        <v/>
      </c>
    </row>
    <row r="54">
      <c r="B54" s="26" t="n">
        <v>748</v>
      </c>
      <c r="C54" s="40" t="n">
        <v>0.073</v>
      </c>
      <c r="D54" s="22">
        <f>'実験3-2_波長校正'!C$12*B54^2+'実験3-2_波長校正'!C$13*B54+'実験3-2_波長校正'!C$14</f>
        <v/>
      </c>
    </row>
    <row r="55">
      <c r="B55" s="26" t="n">
        <v>750</v>
      </c>
      <c r="C55" s="40" t="n">
        <v>0.0761</v>
      </c>
      <c r="D55" s="22">
        <f>'実験3-2_波長校正'!C$12*B55^2+'実験3-2_波長校正'!C$13*B55+'実験3-2_波長校正'!C$14</f>
        <v/>
      </c>
    </row>
    <row r="56">
      <c r="B56" s="26" t="n">
        <v>752</v>
      </c>
      <c r="C56" s="40" t="n">
        <v>0.0796</v>
      </c>
      <c r="D56" s="22">
        <f>'実験3-2_波長校正'!C$12*B56^2+'実験3-2_波長校正'!C$13*B56+'実験3-2_波長校正'!C$14</f>
        <v/>
      </c>
    </row>
    <row r="57">
      <c r="B57" s="26" t="n">
        <v>754</v>
      </c>
      <c r="C57" s="40" t="n">
        <v>0.0837</v>
      </c>
      <c r="D57" s="22">
        <f>'実験3-2_波長校正'!C$12*B57^2+'実験3-2_波長校正'!C$13*B57+'実験3-2_波長校正'!C$14</f>
        <v/>
      </c>
    </row>
    <row r="58">
      <c r="B58" s="26" t="n">
        <v>756</v>
      </c>
      <c r="C58" s="40" t="n">
        <v>0.08749999999999999</v>
      </c>
      <c r="D58" s="22">
        <f>'実験3-2_波長校正'!C$12*B58^2+'実験3-2_波長校正'!C$13*B58+'実験3-2_波長校正'!C$14</f>
        <v/>
      </c>
    </row>
    <row r="59">
      <c r="B59" s="26" t="n">
        <v>758</v>
      </c>
      <c r="C59" s="40" t="n">
        <v>0.0922</v>
      </c>
      <c r="D59" s="22">
        <f>'実験3-2_波長校正'!C$12*B59^2+'実験3-2_波長校正'!C$13*B59+'実験3-2_波長校正'!C$14</f>
        <v/>
      </c>
    </row>
    <row r="60">
      <c r="B60" s="26" t="n">
        <v>760</v>
      </c>
      <c r="C60" s="40" t="n">
        <v>0.0969</v>
      </c>
      <c r="D60" s="22">
        <f>'実験3-2_波長校正'!C$12*B60^2+'実験3-2_波長校正'!C$13*B60+'実験3-2_波長校正'!C$14</f>
        <v/>
      </c>
    </row>
    <row r="61">
      <c r="B61" s="26" t="n">
        <v>762</v>
      </c>
      <c r="C61" s="40" t="n">
        <v>0.1018</v>
      </c>
      <c r="D61" s="22">
        <f>'実験3-2_波長校正'!C$12*B61^2+'実験3-2_波長校正'!C$13*B61+'実験3-2_波長校正'!C$14</f>
        <v/>
      </c>
    </row>
    <row r="62">
      <c r="B62" s="26" t="n">
        <v>764</v>
      </c>
      <c r="C62" s="40" t="n">
        <v>0.1072</v>
      </c>
      <c r="D62" s="22">
        <f>'実験3-2_波長校正'!C$12*B62^2+'実験3-2_波長校正'!C$13*B62+'実験3-2_波長校正'!C$14</f>
        <v/>
      </c>
    </row>
    <row r="63">
      <c r="B63" s="26" t="n">
        <v>766</v>
      </c>
      <c r="C63" s="40" t="n">
        <v>0.1132</v>
      </c>
      <c r="D63" s="22">
        <f>'実験3-2_波長校正'!C$12*B63^2+'実験3-2_波長校正'!C$13*B63+'実験3-2_波長校正'!C$14</f>
        <v/>
      </c>
    </row>
    <row r="64">
      <c r="B64" s="26" t="n">
        <v>768</v>
      </c>
      <c r="C64" s="40" t="n">
        <v>0.1188</v>
      </c>
      <c r="D64" s="22">
        <f>'実験3-2_波長校正'!C$12*B64^2+'実験3-2_波長校正'!C$13*B64+'実験3-2_波長校正'!C$14</f>
        <v/>
      </c>
    </row>
    <row r="65">
      <c r="B65" s="26" t="n">
        <v>770</v>
      </c>
      <c r="C65" s="40" t="n">
        <v>0.1233</v>
      </c>
      <c r="D65" s="22">
        <f>'実験3-2_波長校正'!C$12*B65^2+'実験3-2_波長校正'!C$13*B65+'実験3-2_波長校正'!C$14</f>
        <v/>
      </c>
    </row>
    <row r="66">
      <c r="B66" s="26" t="n">
        <v>772</v>
      </c>
      <c r="C66" s="40" t="n">
        <v>0.1278</v>
      </c>
      <c r="D66" s="22">
        <f>'実験3-2_波長校正'!C$12*B66^2+'実験3-2_波長校正'!C$13*B66+'実験3-2_波長校正'!C$14</f>
        <v/>
      </c>
    </row>
    <row r="67">
      <c r="B67" s="26" t="n">
        <v>774</v>
      </c>
      <c r="C67" s="40" t="n">
        <v>0.1313</v>
      </c>
      <c r="D67" s="22">
        <f>'実験3-2_波長校正'!C$12*B67^2+'実験3-2_波長校正'!C$13*B67+'実験3-2_波長校正'!C$14</f>
        <v/>
      </c>
    </row>
    <row r="68">
      <c r="B68" s="26" t="n">
        <v>776</v>
      </c>
      <c r="C68" s="40" t="n">
        <v>0.1338</v>
      </c>
      <c r="D68" s="22">
        <f>'実験3-2_波長校正'!C$12*B68^2+'実験3-2_波長校正'!C$13*B68+'実験3-2_波長校正'!C$14</f>
        <v/>
      </c>
    </row>
    <row r="69">
      <c r="B69" s="26" t="n">
        <v>778</v>
      </c>
      <c r="C69" s="40" t="n">
        <v>0.1352</v>
      </c>
      <c r="D69" s="22">
        <f>'実験3-2_波長校正'!C$12*B69^2+'実験3-2_波長校正'!C$13*B69+'実験3-2_波長校正'!C$14</f>
        <v/>
      </c>
    </row>
    <row r="70">
      <c r="B70" s="26" t="n">
        <v>780</v>
      </c>
      <c r="C70" s="40" t="n">
        <v>0.1349</v>
      </c>
      <c r="D70" s="22">
        <f>'実験3-2_波長校正'!C$12*B70^2+'実験3-2_波長校正'!C$13*B70+'実験3-2_波長校正'!C$14</f>
        <v/>
      </c>
    </row>
    <row r="71">
      <c r="B71" s="26" t="n">
        <v>782</v>
      </c>
      <c r="C71" s="40" t="n">
        <v>0.1328</v>
      </c>
      <c r="D71" s="22">
        <f>'実験3-2_波長校正'!C$12*B71^2+'実験3-2_波長校正'!C$13*B71+'実験3-2_波長校正'!C$14</f>
        <v/>
      </c>
    </row>
    <row r="72">
      <c r="B72" s="26" t="n">
        <v>785</v>
      </c>
      <c r="C72" s="40" t="n">
        <v>0.1274</v>
      </c>
      <c r="D72" s="22">
        <f>'実験3-2_波長校正'!C$12*B72^2+'実験3-2_波長校正'!C$13*B72+'実験3-2_波長校正'!C$14</f>
        <v/>
      </c>
    </row>
    <row r="73">
      <c r="B73" s="26" t="n">
        <v>790</v>
      </c>
      <c r="C73" s="40" t="n">
        <v>0.1123</v>
      </c>
      <c r="D73" s="22">
        <f>'実験3-2_波長校正'!C$12*B73^2+'実験3-2_波長校正'!C$13*B73+'実験3-2_波長校正'!C$14</f>
        <v/>
      </c>
    </row>
    <row r="74">
      <c r="B74" s="26" t="n">
        <v>795</v>
      </c>
      <c r="C74" s="40" t="n">
        <v>0.0941</v>
      </c>
      <c r="D74" s="22">
        <f>'実験3-2_波長校正'!C$12*B74^2+'実験3-2_波長校正'!C$13*B74+'実験3-2_波長校正'!C$14</f>
        <v/>
      </c>
    </row>
    <row r="75">
      <c r="B75" s="26" t="n">
        <v>800</v>
      </c>
      <c r="C75" s="40" t="n">
        <v>0.07530000000000001</v>
      </c>
      <c r="D75" s="22">
        <f>'実験3-2_波長校正'!C$12*B75^2+'実験3-2_波長校正'!C$13*B75+'実験3-2_波長校正'!C$14</f>
        <v/>
      </c>
    </row>
    <row r="76">
      <c r="B76" s="26" t="n">
        <v>805</v>
      </c>
      <c r="C76" s="40" t="n">
        <v>0.0594</v>
      </c>
      <c r="D76" s="22">
        <f>'実験3-2_波長校正'!C$12*B76^2+'実験3-2_波長校正'!C$13*B76+'実験3-2_波長校正'!C$14</f>
        <v/>
      </c>
    </row>
    <row r="77">
      <c r="B77" s="26" t="n">
        <v>810</v>
      </c>
      <c r="C77" s="40" t="n">
        <v>0.0466</v>
      </c>
      <c r="D77" s="22">
        <f>'実験3-2_波長校正'!C$12*B77^2+'実験3-2_波長校正'!C$13*B77+'実験3-2_波長校正'!C$14</f>
        <v/>
      </c>
    </row>
    <row r="78">
      <c r="B78" s="26" t="n">
        <v>815</v>
      </c>
      <c r="C78" s="40" t="n">
        <v>0.0367</v>
      </c>
      <c r="D78" s="22">
        <f>'実験3-2_波長校正'!C$12*B78^2+'実験3-2_波長校正'!C$13*B78+'実験3-2_波長校正'!C$14</f>
        <v/>
      </c>
    </row>
    <row r="79">
      <c r="B79" s="26" t="n">
        <v>820</v>
      </c>
      <c r="C79" s="40" t="n">
        <v>0.0296</v>
      </c>
      <c r="D79" s="22">
        <f>'実験3-2_波長校正'!C$12*B79^2+'実験3-2_波長校正'!C$13*B79+'実験3-2_波長校正'!C$14</f>
        <v/>
      </c>
    </row>
    <row r="80">
      <c r="B80" s="26" t="n">
        <v>825</v>
      </c>
      <c r="C80" s="40" t="n">
        <v>0.0236</v>
      </c>
      <c r="D80" s="22">
        <f>'実験3-2_波長校正'!C$12*B80^2+'実験3-2_波長校正'!C$13*B80+'実験3-2_波長校正'!C$14</f>
        <v/>
      </c>
    </row>
    <row r="81">
      <c r="B81" s="26" t="n">
        <v>830</v>
      </c>
      <c r="C81" s="40" t="n">
        <v>0.0193</v>
      </c>
      <c r="D81" s="22">
        <f>'実験3-2_波長校正'!C$12*B81^2+'実験3-2_波長校正'!C$13*B81+'実験3-2_波長校正'!C$14</f>
        <v/>
      </c>
    </row>
    <row r="82">
      <c r="B82" s="26" t="n">
        <v>835</v>
      </c>
      <c r="C82" s="40" t="n">
        <v>0.0156</v>
      </c>
      <c r="D82" s="22">
        <f>'実験3-2_波長校正'!C$12*B82^2+'実験3-2_波長校正'!C$13*B82+'実験3-2_波長校正'!C$14</f>
        <v/>
      </c>
    </row>
    <row r="83">
      <c r="B83" s="26" t="n">
        <v>840</v>
      </c>
      <c r="C83" s="40" t="n">
        <v>0.0132</v>
      </c>
      <c r="D83" s="22">
        <f>'実験3-2_波長校正'!C$12*B83^2+'実験3-2_波長校正'!C$13*B83+'実験3-2_波長校正'!C$14</f>
        <v/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3:F76"/>
  <sheetViews>
    <sheetView tabSelected="1" workbookViewId="0">
      <selection activeCell="H73" sqref="H73"/>
    </sheetView>
  </sheetViews>
  <sheetFormatPr baseColWidth="8" defaultRowHeight="13.8"/>
  <cols>
    <col width="13.77734375" customWidth="1" style="4" min="2" max="2"/>
  </cols>
  <sheetData>
    <row r="3">
      <c r="B3" s="0" t="inlineStr">
        <is>
          <t>x0=50mm</t>
        </is>
      </c>
      <c r="C3" s="0" t="inlineStr">
        <is>
          <t>L=150mm</t>
        </is>
      </c>
    </row>
    <row r="5" ht="18" customHeight="1" s="4">
      <c r="B5" s="0" t="inlineStr">
        <is>
          <t>Na(オレンジ)</t>
        </is>
      </c>
      <c r="C5" s="0" t="inlineStr">
        <is>
          <t>x1[mm]</t>
        </is>
      </c>
      <c r="D5" s="0" t="inlineStr">
        <is>
          <t>x</t>
        </is>
      </c>
      <c r="E5" s="1" t="inlineStr">
        <is>
          <t>θ</t>
        </is>
      </c>
      <c r="F5" s="0" t="inlineStr">
        <is>
          <t>λ[nm]</t>
        </is>
      </c>
    </row>
    <row r="6" ht="18" customHeight="1" s="4">
      <c r="B6" s="1" t="inlineStr">
        <is>
          <t>左</t>
        </is>
      </c>
      <c r="C6" s="0" t="n">
        <v>95</v>
      </c>
    </row>
    <row r="7" ht="18" customHeight="1" s="4">
      <c r="B7" s="1" t="inlineStr">
        <is>
          <t>中</t>
        </is>
      </c>
      <c r="C7" s="0" t="n">
        <v>97</v>
      </c>
    </row>
    <row r="8" ht="18" customHeight="1" s="4">
      <c r="B8" s="1" t="inlineStr">
        <is>
          <t>右</t>
        </is>
      </c>
      <c r="C8" s="0" t="n">
        <v>99</v>
      </c>
    </row>
    <row r="12" ht="18" customHeight="1" s="4">
      <c r="B12" s="1" t="inlineStr">
        <is>
          <t>水銀ランプ</t>
        </is>
      </c>
      <c r="C12" s="0" t="inlineStr">
        <is>
          <t>x1[mm]</t>
        </is>
      </c>
      <c r="D12" s="0" t="inlineStr">
        <is>
          <t>x</t>
        </is>
      </c>
      <c r="E12" s="1" t="inlineStr">
        <is>
          <t>θ</t>
        </is>
      </c>
      <c r="F12" s="0" t="inlineStr">
        <is>
          <t>λ[nm]</t>
        </is>
      </c>
    </row>
    <row r="13" ht="18" customHeight="1" s="4">
      <c r="B13" s="1" t="inlineStr">
        <is>
          <t>左</t>
        </is>
      </c>
      <c r="C13" s="0" t="n">
        <v>95.2</v>
      </c>
    </row>
    <row r="14" ht="18" customHeight="1" s="4">
      <c r="B14" s="1" t="inlineStr">
        <is>
          <t>中</t>
        </is>
      </c>
      <c r="C14" s="0" t="n">
        <v>98.09999999999999</v>
      </c>
    </row>
    <row r="15" ht="18" customHeight="1" s="4">
      <c r="B15" s="1" t="inlineStr">
        <is>
          <t>右</t>
        </is>
      </c>
      <c r="C15" s="0" t="n">
        <v>100.4</v>
      </c>
    </row>
    <row r="18">
      <c r="B18" s="2" t="inlineStr">
        <is>
          <t>Hg</t>
        </is>
      </c>
    </row>
    <row r="19" ht="18" customHeight="1" s="4">
      <c r="B19" s="1" t="inlineStr">
        <is>
          <t>オレンジ</t>
        </is>
      </c>
      <c r="C19" s="0" t="inlineStr">
        <is>
          <t>x1[mm]</t>
        </is>
      </c>
      <c r="D19" s="0" t="inlineStr">
        <is>
          <t>x</t>
        </is>
      </c>
      <c r="E19" s="1" t="inlineStr">
        <is>
          <t>θ</t>
        </is>
      </c>
      <c r="F19" s="0" t="inlineStr">
        <is>
          <t>λ[nm]</t>
        </is>
      </c>
    </row>
    <row r="20" ht="18" customHeight="1" s="4">
      <c r="B20" s="1" t="inlineStr">
        <is>
          <t>左</t>
        </is>
      </c>
      <c r="C20" s="0" t="n">
        <v>87.5</v>
      </c>
    </row>
    <row r="21" ht="18" customHeight="1" s="4">
      <c r="B21" s="1" t="inlineStr">
        <is>
          <t>中</t>
        </is>
      </c>
      <c r="C21" s="0" t="n">
        <v>89</v>
      </c>
    </row>
    <row r="22" ht="18" customHeight="1" s="4">
      <c r="B22" s="1" t="inlineStr">
        <is>
          <t>右</t>
        </is>
      </c>
      <c r="C22" s="0" t="n">
        <v>90.90000000000001</v>
      </c>
    </row>
    <row r="26" ht="18" customHeight="1" s="4">
      <c r="B26" s="1" t="inlineStr">
        <is>
          <t>緑</t>
        </is>
      </c>
      <c r="C26" s="0" t="inlineStr">
        <is>
          <t>x1[mm]</t>
        </is>
      </c>
      <c r="D26" s="0" t="inlineStr">
        <is>
          <t>x</t>
        </is>
      </c>
      <c r="E26" s="1" t="inlineStr">
        <is>
          <t>θ</t>
        </is>
      </c>
      <c r="F26" s="0" t="inlineStr">
        <is>
          <t>λ[nm]</t>
        </is>
      </c>
    </row>
    <row r="27" ht="18" customHeight="1" s="4">
      <c r="B27" s="1" t="inlineStr">
        <is>
          <t>左</t>
        </is>
      </c>
      <c r="C27" s="0" t="n">
        <v>74.2</v>
      </c>
    </row>
    <row r="28" ht="18" customHeight="1" s="4">
      <c r="B28" s="1" t="inlineStr">
        <is>
          <t>中</t>
        </is>
      </c>
      <c r="C28" s="0" t="n">
        <v>75.5</v>
      </c>
    </row>
    <row r="29" ht="18" customHeight="1" s="4">
      <c r="B29" s="1" t="inlineStr">
        <is>
          <t>右</t>
        </is>
      </c>
      <c r="C29" s="0" t="n">
        <v>77</v>
      </c>
    </row>
    <row r="34" ht="18" customHeight="1" s="4">
      <c r="B34" s="1" t="inlineStr">
        <is>
          <t>青</t>
        </is>
      </c>
      <c r="C34" s="0" t="inlineStr">
        <is>
          <t>x1[mm]</t>
        </is>
      </c>
      <c r="D34" s="0" t="inlineStr">
        <is>
          <t>x</t>
        </is>
      </c>
      <c r="E34" s="1" t="inlineStr">
        <is>
          <t>θ</t>
        </is>
      </c>
      <c r="F34" s="0" t="inlineStr">
        <is>
          <t>λ[nm]</t>
        </is>
      </c>
    </row>
    <row r="35" ht="18" customHeight="1" s="4">
      <c r="B35" s="1" t="inlineStr">
        <is>
          <t>左</t>
        </is>
      </c>
      <c r="C35" s="0" t="n">
        <v>37.1</v>
      </c>
    </row>
    <row r="36" ht="18" customHeight="1" s="4">
      <c r="B36" s="1" t="inlineStr">
        <is>
          <t>中</t>
        </is>
      </c>
      <c r="C36" s="0" t="n">
        <v>38.2</v>
      </c>
    </row>
    <row r="37" ht="18" customHeight="1" s="4">
      <c r="B37" s="1" t="inlineStr">
        <is>
          <t>右</t>
        </is>
      </c>
      <c r="C37" s="0" t="n">
        <v>39.2</v>
      </c>
    </row>
    <row r="42">
      <c r="B42" s="0" t="inlineStr">
        <is>
          <t>Cd</t>
        </is>
      </c>
    </row>
    <row r="43" ht="18" customHeight="1" s="4">
      <c r="B43" s="1" t="inlineStr">
        <is>
          <t>赤</t>
        </is>
      </c>
    </row>
    <row r="44" ht="18" customHeight="1" s="4">
      <c r="B44" s="1" t="inlineStr">
        <is>
          <t>真ん中</t>
        </is>
      </c>
      <c r="C44" s="0" t="inlineStr">
        <is>
          <t>12.5mm</t>
        </is>
      </c>
    </row>
    <row r="46" ht="18" customHeight="1" s="4">
      <c r="B46" s="1" t="inlineStr">
        <is>
          <t>緑</t>
        </is>
      </c>
    </row>
    <row r="47" ht="18" customHeight="1" s="4">
      <c r="B47" s="1" t="inlineStr">
        <is>
          <t>左</t>
        </is>
      </c>
      <c r="C47" s="0" t="n">
        <v>52</v>
      </c>
    </row>
    <row r="48" ht="18" customHeight="1" s="4">
      <c r="B48" s="1" t="inlineStr">
        <is>
          <t>中</t>
        </is>
      </c>
      <c r="C48" s="0" t="n">
        <v>54.5</v>
      </c>
    </row>
    <row r="49" ht="18" customHeight="1" s="4">
      <c r="B49" s="1" t="inlineStr">
        <is>
          <t>右</t>
        </is>
      </c>
      <c r="C49" s="0" t="n">
        <v>57</v>
      </c>
    </row>
    <row r="51" ht="18" customHeight="1" s="4">
      <c r="B51" s="1" t="inlineStr">
        <is>
          <t>水色の左</t>
        </is>
      </c>
    </row>
    <row r="52" ht="18" customHeight="1" s="4">
      <c r="B52" s="1" t="inlineStr">
        <is>
          <t>左</t>
        </is>
      </c>
      <c r="C52" s="0" t="n">
        <v>35.5</v>
      </c>
    </row>
    <row r="53" ht="18" customHeight="1" s="4">
      <c r="B53" s="1" t="inlineStr">
        <is>
          <t>中</t>
        </is>
      </c>
      <c r="C53" s="0" t="n">
        <v>37</v>
      </c>
    </row>
    <row r="54" ht="18" customHeight="1" s="4">
      <c r="B54" s="1" t="inlineStr">
        <is>
          <t>右</t>
        </is>
      </c>
      <c r="C54" s="0" t="n">
        <v>40.5</v>
      </c>
    </row>
    <row r="57" ht="18" customHeight="1" s="4">
      <c r="B57" s="1" t="inlineStr">
        <is>
          <t>青</t>
        </is>
      </c>
    </row>
    <row r="58" ht="18" customHeight="1" s="4">
      <c r="B58" s="1" t="inlineStr">
        <is>
          <t>左</t>
        </is>
      </c>
      <c r="C58" s="0" t="n">
        <v>35.6</v>
      </c>
    </row>
    <row r="59" ht="18" customHeight="1" s="4">
      <c r="B59" s="1" t="n"/>
    </row>
    <row r="60" ht="18" customHeight="1" s="4">
      <c r="B60" s="1" t="n"/>
    </row>
    <row r="61">
      <c r="B61" s="0" t="inlineStr">
        <is>
          <t>Cd</t>
        </is>
      </c>
    </row>
    <row r="62" ht="18" customHeight="1" s="4">
      <c r="B62" s="1" t="inlineStr">
        <is>
          <t>L=150mm</t>
        </is>
      </c>
      <c r="C62" s="0" t="inlineStr">
        <is>
          <t>x</t>
        </is>
      </c>
      <c r="D62" s="3" t="inlineStr">
        <is>
          <t>δ0</t>
        </is>
      </c>
      <c r="E62" s="3" t="inlineStr">
        <is>
          <t>n(屈折率)</t>
        </is>
      </c>
    </row>
    <row r="63" ht="18" customHeight="1" s="4">
      <c r="B63" s="1" t="inlineStr">
        <is>
          <t>赤</t>
        </is>
      </c>
      <c r="C63" s="0" t="n">
        <v>136</v>
      </c>
    </row>
    <row r="64" ht="18" customHeight="1" s="4">
      <c r="B64" s="1" t="inlineStr">
        <is>
          <t>緑</t>
        </is>
      </c>
      <c r="C64" s="0" t="n">
        <v>128</v>
      </c>
    </row>
    <row r="65" ht="18" customHeight="1" s="4">
      <c r="B65" s="1" t="inlineStr">
        <is>
          <t>水色</t>
        </is>
      </c>
      <c r="C65" s="0" t="n">
        <v>127</v>
      </c>
    </row>
    <row r="66" ht="18" customHeight="1" s="4">
      <c r="B66" s="1" t="inlineStr">
        <is>
          <t>青</t>
        </is>
      </c>
      <c r="C66" s="0" t="n">
        <v>118</v>
      </c>
    </row>
    <row r="67" ht="18" customHeight="1" s="4">
      <c r="B67" s="1" t="inlineStr">
        <is>
          <t>L=175mm</t>
        </is>
      </c>
      <c r="C67" s="0" t="inlineStr">
        <is>
          <t>x</t>
        </is>
      </c>
      <c r="D67" s="3" t="inlineStr">
        <is>
          <t>δ0</t>
        </is>
      </c>
      <c r="E67" s="3" t="inlineStr">
        <is>
          <t>n(屈折率)</t>
        </is>
      </c>
    </row>
    <row r="68" ht="18" customHeight="1" s="4">
      <c r="B68" s="1" t="inlineStr">
        <is>
          <t>赤</t>
        </is>
      </c>
      <c r="C68" s="0" t="n">
        <v>155</v>
      </c>
    </row>
    <row r="69" ht="18" customHeight="1" s="4">
      <c r="B69" s="1" t="inlineStr">
        <is>
          <t>緑</t>
        </is>
      </c>
      <c r="C69" s="0" t="n">
        <v>151</v>
      </c>
    </row>
    <row r="70" ht="18" customHeight="1" s="4">
      <c r="B70" s="1" t="inlineStr">
        <is>
          <t>水色</t>
        </is>
      </c>
      <c r="C70" s="0" t="n">
        <v>149</v>
      </c>
    </row>
    <row r="71" ht="18" customHeight="1" s="4">
      <c r="B71" s="1" t="inlineStr">
        <is>
          <t>青</t>
        </is>
      </c>
      <c r="C71" s="0" t="n">
        <v>143</v>
      </c>
    </row>
    <row r="72" ht="18" customHeight="1" s="4">
      <c r="B72" s="1" t="inlineStr">
        <is>
          <t>L=200mm</t>
        </is>
      </c>
      <c r="C72" s="0" t="inlineStr">
        <is>
          <t>x</t>
        </is>
      </c>
      <c r="D72" s="3" t="inlineStr">
        <is>
          <t>δ0</t>
        </is>
      </c>
      <c r="E72" s="3" t="inlineStr">
        <is>
          <t>n(屈折率)</t>
        </is>
      </c>
    </row>
    <row r="73" ht="18" customHeight="1" s="4">
      <c r="B73" s="1" t="inlineStr">
        <is>
          <t>赤</t>
        </is>
      </c>
      <c r="C73" s="0" t="n">
        <v>188</v>
      </c>
    </row>
    <row r="74" ht="18" customHeight="1" s="4">
      <c r="B74" s="1" t="inlineStr">
        <is>
          <t>緑</t>
        </is>
      </c>
      <c r="C74" s="0" t="n">
        <v>181</v>
      </c>
    </row>
    <row r="75" ht="18" customHeight="1" s="4">
      <c r="B75" s="1" t="inlineStr">
        <is>
          <t>水色</t>
        </is>
      </c>
      <c r="C75" s="0" t="n">
        <v>176</v>
      </c>
    </row>
    <row r="76" ht="18" customHeight="1" s="4">
      <c r="B76" s="1" t="inlineStr">
        <is>
          <t>青</t>
        </is>
      </c>
      <c r="C76" s="0" t="n">
        <v>170</v>
      </c>
    </row>
  </sheetData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許　彬彬</dc:creator>
  <dcterms:created xmlns:dcterms="http://purl.org/dc/terms/" xmlns:xsi="http://www.w3.org/2001/XMLSchema-instance" xsi:type="dcterms:W3CDTF">2026-10-17T09:00:00Z</dcterms:created>
  <dcterms:modified xmlns:dcterms="http://purl.org/dc/terms/" xmlns:xsi="http://www.w3.org/2001/XMLSchema-instance" xsi:type="dcterms:W3CDTF">2026-10-24T18:03:15Z</dcterms:modified>
  <cp:lastModifiedBy>許　彬彬</cp:lastModifiedBy>
</cp:coreProperties>
</file>